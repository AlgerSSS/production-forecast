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周一至周四" sheetId="2" r:id="rId1"/>
    <sheet name="Sheet1 (2)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<sst xmlns="http://schemas.openxmlformats.org/spreadsheetml/2006/main" count="300" uniqueCount="168">
  <si>
    <t>TOP</t>
  </si>
  <si>
    <t>TOP榜</t>
  </si>
  <si>
    <t>Top榜</t>
  </si>
  <si>
    <t>蛋挞柜</t>
  </si>
  <si>
    <t>趁热心动蛋挞</t>
  </si>
  <si>
    <t>Hot Crush Egg Tart</t>
  </si>
  <si>
    <t>开心果蛋挞</t>
  </si>
  <si>
    <t>Hot Crush Pistachio Egg Tart</t>
  </si>
  <si>
    <t>巧克力蛋挞</t>
  </si>
  <si>
    <t>Hot Crush Chocolate Egg Tart</t>
  </si>
  <si>
    <t>吐司柜</t>
  </si>
  <si>
    <t>奶酪核桃马卡龙</t>
  </si>
  <si>
    <t>Hot Crush Cheese Walnut Macaron</t>
  </si>
  <si>
    <t>可颂柜</t>
  </si>
  <si>
    <t>蜂蜜蔓越莓果坚果棒</t>
  </si>
  <si>
    <t>Honey Cranberry Nut Bar</t>
  </si>
  <si>
    <t>蜂蜜开心果坚果棒</t>
  </si>
  <si>
    <t>Honey Pistachio Nut Bar</t>
  </si>
  <si>
    <t>能量棒柜</t>
  </si>
  <si>
    <t>黑松露牛排惠灵顿</t>
  </si>
  <si>
    <t>Black Truffle Wellington Steak Croissant</t>
  </si>
  <si>
    <t>吐司类</t>
  </si>
  <si>
    <t>牛乳吐司</t>
  </si>
  <si>
    <t>Milky Toast</t>
  </si>
  <si>
    <t>潜在TOP榜</t>
  </si>
  <si>
    <t>潜在TOP</t>
  </si>
  <si>
    <t>榴莲吐司</t>
  </si>
  <si>
    <t>Musang King Durian Cheese Bun</t>
  </si>
  <si>
    <t>草莓巧克力爆浆吐司</t>
  </si>
  <si>
    <t>Triple Chocolate Fluffy Loaf</t>
  </si>
  <si>
    <t>星空流沙吐司</t>
  </si>
  <si>
    <t>Handmade Taro Fluffy Loaf</t>
  </si>
  <si>
    <t>红豆松松吐司</t>
  </si>
  <si>
    <t>Fluffy Red Bean Chicken Floss Toast </t>
  </si>
  <si>
    <t>贝果类</t>
  </si>
  <si>
    <t>蒜香贝果</t>
  </si>
  <si>
    <t>French Garlic Cheese Bagel</t>
  </si>
  <si>
    <t>泰式咖喱土豆贝果</t>
  </si>
  <si>
    <t>蓝莓贝果</t>
  </si>
  <si>
    <t>Blueberry Lava Bagel</t>
  </si>
  <si>
    <t>2号
冷柜</t>
  </si>
  <si>
    <t>抹茶贝果</t>
  </si>
  <si>
    <t>Japanese Matcha  Bagel</t>
  </si>
  <si>
    <t>1号
冷柜</t>
  </si>
  <si>
    <t>墨西哥辣椒贝果</t>
  </si>
  <si>
    <t>Hot Crush Jalapeño Chicken Bagel</t>
  </si>
  <si>
    <t>巧克力贝果</t>
  </si>
  <si>
    <t>Rich Chocolate Bagel</t>
  </si>
  <si>
    <t>3号
冷柜</t>
  </si>
  <si>
    <t>焦糖贝果</t>
  </si>
  <si>
    <t>Toffee Caramel New Zealand cream Lava Bagel</t>
  </si>
  <si>
    <t>黄油红豆贝果</t>
  </si>
  <si>
    <t>Iced Red Bean Butter Bagel</t>
  </si>
  <si>
    <t>可颂类</t>
  </si>
  <si>
    <t>蓝莓奶油可颂</t>
  </si>
  <si>
    <t xml:space="preserve">Hot Crush Blueberry Iced Croissant </t>
  </si>
  <si>
    <t>树莓奶油可颂</t>
  </si>
  <si>
    <t>Hot Crush Pistachio and Raspberry Iced Croissant</t>
  </si>
  <si>
    <t>丹麦</t>
  </si>
  <si>
    <t>冷加工出货柜</t>
  </si>
  <si>
    <t>草莓奶油可颂</t>
  </si>
  <si>
    <t xml:space="preserve">Hot Crush Strawberry Iced Croissant </t>
  </si>
  <si>
    <t>试吃车</t>
  </si>
  <si>
    <t>杏仁可颂</t>
  </si>
  <si>
    <t>hot Crush French Toffee almond Croissant</t>
  </si>
  <si>
    <t>岩烧可颂</t>
  </si>
  <si>
    <t>Hot Crush butter Croissant</t>
  </si>
  <si>
    <t>碱水类</t>
  </si>
  <si>
    <t>心动黑巧克力薄脆碱水结</t>
  </si>
  <si>
    <t>Cocoa Crispy Pretzel</t>
  </si>
  <si>
    <t>新品</t>
  </si>
  <si>
    <t>泡芙类</t>
  </si>
  <si>
    <t>雪顶草莓奶油泡芙</t>
  </si>
  <si>
    <t>Hot Crush Strawberry New Zealand cream Puff</t>
  </si>
  <si>
    <t>蓝莓奶油泡芙</t>
  </si>
  <si>
    <t>Hot Crush Blueberry Lava Puff</t>
  </si>
  <si>
    <t>草莓奶油泡芙</t>
  </si>
  <si>
    <t>Hot Crush Strawberry Lava Puff</t>
  </si>
  <si>
    <t>巧克力泡芙</t>
  </si>
  <si>
    <t>Hot Crush Cocoa New Zealand cream Puff</t>
  </si>
  <si>
    <t>蛋挞类</t>
  </si>
  <si>
    <t>草莓奶油蛋挞</t>
  </si>
  <si>
    <t>Hot Crush Strawberry New Zealand cream Tart</t>
  </si>
  <si>
    <t>蓝莓奶油蛋挞</t>
  </si>
  <si>
    <t>Hot Crush Blueberry New Zealand cream Tart</t>
  </si>
  <si>
    <t>莓果蛋挞大</t>
  </si>
  <si>
    <t>Hot Crush double berries New Zealand cream Tart</t>
  </si>
  <si>
    <t>抹茶蛋挞大</t>
  </si>
  <si>
    <t>Kyoto Matcha raspberry Tart</t>
  </si>
  <si>
    <t>心动树莓奶油挞圆大挞</t>
  </si>
  <si>
    <t>Hot Crush Raspberry New Zealand cream Tart</t>
  </si>
  <si>
    <t>心动开心果黑巧蝴蝶酥</t>
  </si>
  <si>
    <t>Hot Crush Pistachio Dark Chocolate Palmier</t>
  </si>
  <si>
    <t>心动白巧草莓玫瑰蝴蝶酥</t>
  </si>
  <si>
    <t>Hot Crush White Chocolate Strawberry Rose Palmier</t>
  </si>
  <si>
    <t>轻糖伊朗开心果拿破仑</t>
  </si>
  <si>
    <t>Hot Light Sugar Iranian Pistachio 
Cream Chocolate Mille-Feuille</t>
  </si>
  <si>
    <t>轻糖草莓玫瑰拿破仑</t>
  </si>
  <si>
    <t>Hot Light Sugar Strawberry Rose
Cream Chocolate Mille-Feuille</t>
  </si>
  <si>
    <t>轻糖香水柠檬拿破仑</t>
  </si>
  <si>
    <t>Hot Light Sugar Perfumed Lemon Mille-Feuille</t>
  </si>
  <si>
    <t>巴斯克</t>
  </si>
  <si>
    <t>野果蓝莓软心巴斯克</t>
  </si>
  <si>
    <t>French Wild Blueberry Melty Basque</t>
  </si>
  <si>
    <t>浓醇树莓软心巴斯克</t>
  </si>
  <si>
    <t>French Rich Raspberry Melty Basque</t>
  </si>
  <si>
    <t>日式浓醇抹茶巴斯克</t>
  </si>
  <si>
    <t>Japanese Rich Matcha Melty Basque</t>
  </si>
  <si>
    <t>黑巧刨花浓醇巴斯克</t>
  </si>
  <si>
    <t>French Rich Dark Chocolate Shavings Basque</t>
  </si>
  <si>
    <t>草莓拿破仑</t>
  </si>
  <si>
    <t>Chololate Strawberry Napoleon</t>
  </si>
  <si>
    <t>合计</t>
  </si>
  <si>
    <t>预计销售</t>
  </si>
  <si>
    <t>门店陈列</t>
  </si>
  <si>
    <t>爆款占比</t>
  </si>
  <si>
    <r>
      <rPr>
        <b/>
        <sz val="14"/>
        <rFont val="微软雅黑"/>
        <charset val="134"/>
      </rPr>
      <t>备注：
1. 优先加货，打造Top榜的核心工作，慎重加货，及时汇报上级，避免单小时加货过多导致下一个小时减货，批次数据永远排第一位；</t>
    </r>
    <r>
      <rPr>
        <b/>
        <sz val="14"/>
        <color rgb="FFFF0000"/>
        <rFont val="微软雅黑"/>
        <charset val="134"/>
      </rPr>
      <t xml:space="preserve">
2. 前场每日12点前给到后厨后天的预估单，如需修改出货数量，请修改电子版预估单，不要群里口头通知，车间生产只以预估单数量为准；</t>
    </r>
    <r>
      <rPr>
        <b/>
        <sz val="14"/>
        <rFont val="微软雅黑"/>
        <charset val="134"/>
      </rPr>
      <t xml:space="preserve">
3.如有团购订单，需要在预估单上体现；
4</t>
    </r>
    <r>
      <rPr>
        <b/>
        <sz val="14"/>
        <color rgb="FFFF0000"/>
        <rFont val="微软雅黑"/>
        <charset val="134"/>
      </rPr>
      <t>.每天下午14:00前场需确定最后一批搅拌类产品出货；</t>
    </r>
    <r>
      <rPr>
        <b/>
        <sz val="14"/>
        <rFont val="微软雅黑"/>
        <charset val="134"/>
      </rPr>
      <t xml:space="preserve">
5.牛乳吐司每批不超72条；
6.三种坚果棒每批最大量120根；
7.奶酪核桃马卡龙、红豆松松吐司、心太软每批次最多不超60个（整个）；
8.加货明细：由战队长和主厨确定；
9.加货优先加TOP榜，其次加准TOP榜；
10.每小时必出：频次最重要；加货慎重：未达到产能极限前寻求上级确认。</t>
    </r>
  </si>
  <si>
    <t>预估单</t>
  </si>
  <si>
    <t>预估合计金额</t>
  </si>
  <si>
    <t>品类</t>
  </si>
  <si>
    <t>陈列位置</t>
  </si>
  <si>
    <t>序号</t>
  </si>
  <si>
    <t>品名</t>
  </si>
  <si>
    <t>牧场牛乳鲜吐司</t>
  </si>
  <si>
    <t>趁热奶酪核桃马卡龙</t>
  </si>
  <si>
    <t>趁热奶酪核桃马卡龙(半个)</t>
  </si>
  <si>
    <t>轻糖牛乳棒棒泡芙</t>
  </si>
  <si>
    <t>意式烟熏火腿芝士卷</t>
  </si>
  <si>
    <t>轻糖伊朗开心果棒棒泡芙</t>
  </si>
  <si>
    <t>轻糖伊朗开心果拿破仑酥</t>
  </si>
  <si>
    <t>趁热心动开心果蛋挞</t>
  </si>
  <si>
    <t>伊朗开心果榛巧马卡龙</t>
  </si>
  <si>
    <t>趁热心动巧克力蛋挞</t>
  </si>
  <si>
    <t>意式蓝莓奶油可颂</t>
  </si>
  <si>
    <t>黑松露火腿坚果棒</t>
  </si>
  <si>
    <t>蜂蜜蔓越莓能量棒</t>
  </si>
  <si>
    <t>总统黄油红豆锅巴可颂</t>
  </si>
  <si>
    <t>6号
可颂柜</t>
  </si>
  <si>
    <t>4号
冷出炉柜</t>
  </si>
  <si>
    <t>黑松露牛排惠灵顿可颂</t>
  </si>
  <si>
    <t>抹茶巧克力爆浆可颂</t>
  </si>
  <si>
    <t>冷加工</t>
  </si>
  <si>
    <t>开心果爆浆黑可颂</t>
  </si>
  <si>
    <t>意式晴王奶油可颂</t>
  </si>
  <si>
    <t>意式芒果奶油可颂</t>
  </si>
  <si>
    <t>浓黑巧碱水结</t>
  </si>
  <si>
    <t>个</t>
  </si>
  <si>
    <t>轻糖乳脂心太软面包</t>
  </si>
  <si>
    <t>杨枝甘露面霜布丁</t>
  </si>
  <si>
    <t>意式空气提拉米苏</t>
  </si>
  <si>
    <t>比心黑巧蝴蝶酥</t>
  </si>
  <si>
    <t>巧克力树莓锅巴可颂</t>
  </si>
  <si>
    <t>烤炉</t>
  </si>
  <si>
    <t>岩烧金枕榴莲可颂</t>
  </si>
  <si>
    <t>趁热黄油可颂</t>
  </si>
  <si>
    <t>咸蛋黄爆浆可颂</t>
  </si>
  <si>
    <t>趁热招牌可颂</t>
  </si>
  <si>
    <t>法式烟熏鸡肉芝士惠灵顿可颂</t>
  </si>
  <si>
    <t>手作焦糖芝麻拿破仑</t>
  </si>
  <si>
    <t>乳酪贝果</t>
  </si>
  <si>
    <t>培根芝士贝果</t>
  </si>
  <si>
    <t>巧克力司康</t>
  </si>
  <si>
    <t>深海墨鱼芝士卷</t>
  </si>
  <si>
    <t>蔓越莓提子软司康</t>
  </si>
  <si>
    <t>烟熏火腿芝士吐司</t>
  </si>
  <si>
    <t>吐司</t>
  </si>
  <si>
    <t>红豆可颂鲜吐司</t>
  </si>
  <si>
    <t>松松咸蛋黄可颂鲜吐司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</si>
</sst>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);[Red]\(0\)"/>
    <numFmt numFmtId="178" formatCode="0.0_);[Red]\(0.0\)"/>
  </numFmts>
  <fonts count="32">
    <font>
      <sz val="11"/>
      <color theme="1"/>
      <name val="微软雅黑"/>
      <charset val="134"/>
    </font>
    <font>
      <sz val="11"/>
      <name val="宋体"/>
      <charset val="134"/>
    </font>
    <font>
      <b/>
      <sz val="14"/>
      <name val="微软雅黑"/>
      <charset val="134"/>
    </font>
    <font>
      <b/>
      <sz val="14"/>
      <color rgb="FF000000"/>
      <name val="微软雅黑"/>
      <charset val="134"/>
    </font>
    <font>
      <sz val="16"/>
      <color rgb="FF000000"/>
      <name val="宋体"/>
      <charset val="134"/>
    </font>
    <font>
      <sz val="14"/>
      <name val="微软雅黑"/>
      <charset val="134"/>
    </font>
    <font>
      <sz val="14"/>
      <color rgb="FF000000"/>
      <name val="微软雅黑"/>
      <charset val="134"/>
    </font>
    <font>
      <sz val="14"/>
      <color rgb="FFFF0000"/>
      <name val="微软雅黑"/>
      <charset val="134"/>
    </font>
    <font>
      <sz val="14"/>
      <color theme="1"/>
      <name val="微软雅黑"/>
      <charset val="134"/>
    </font>
    <font>
      <b/>
      <sz val="14"/>
      <color rgb="FFFF0000"/>
      <name val="微软雅黑"/>
      <charset val="134"/>
    </font>
    <font>
      <sz val="14"/>
      <name val="黑体"/>
      <charset val="134"/>
    </font>
    <font>
      <sz val="14"/>
      <color theme="4"/>
      <name val="微软雅黑"/>
      <charset val="134"/>
    </font>
    <font>
      <sz val="14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1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18" applyNumberFormat="0" applyAlignment="0" applyProtection="0">
      <alignment vertical="center"/>
    </xf>
    <xf numFmtId="0" fontId="22" fillId="10" borderId="19" applyNumberForma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24" fillId="11" borderId="20" applyNumberFormat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0" fontId="2" fillId="0" borderId="7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176" fontId="6" fillId="4" borderId="7" xfId="0" applyNumberFormat="1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vertical="center"/>
    </xf>
    <xf numFmtId="0" fontId="6" fillId="4" borderId="7" xfId="0" applyFont="1" applyFill="1" applyBorder="1" applyAlignment="1">
      <alignment horizontal="center" vertical="center" wrapText="1"/>
    </xf>
    <xf numFmtId="176" fontId="6" fillId="0" borderId="7" xfId="0" applyNumberFormat="1" applyFont="1" applyFill="1" applyBorder="1" applyAlignment="1">
      <alignment horizontal="center" vertical="center" wrapText="1"/>
    </xf>
    <xf numFmtId="177" fontId="2" fillId="4" borderId="7" xfId="0" applyNumberFormat="1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vertical="center"/>
    </xf>
    <xf numFmtId="177" fontId="2" fillId="5" borderId="8" xfId="0" applyNumberFormat="1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177" fontId="2" fillId="5" borderId="9" xfId="0" applyNumberFormat="1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177" fontId="2" fillId="5" borderId="10" xfId="0" applyNumberFormat="1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177" fontId="3" fillId="4" borderId="7" xfId="0" applyNumberFormat="1" applyFont="1" applyFill="1" applyBorder="1" applyAlignment="1">
      <alignment horizontal="center" vertical="center" wrapText="1"/>
    </xf>
    <xf numFmtId="176" fontId="6" fillId="2" borderId="7" xfId="0" applyNumberFormat="1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177" fontId="2" fillId="4" borderId="7" xfId="0" applyNumberFormat="1" applyFont="1" applyFill="1" applyBorder="1" applyAlignment="1">
      <alignment vertical="center" wrapText="1"/>
    </xf>
    <xf numFmtId="0" fontId="5" fillId="0" borderId="7" xfId="0" applyFont="1" applyFill="1" applyBorder="1" applyAlignment="1">
      <alignment vertical="center"/>
    </xf>
    <xf numFmtId="0" fontId="5" fillId="0" borderId="7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176" fontId="8" fillId="6" borderId="7" xfId="0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178" fontId="8" fillId="6" borderId="7" xfId="0" applyNumberFormat="1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177" fontId="2" fillId="4" borderId="11" xfId="0" applyNumberFormat="1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176" fontId="5" fillId="6" borderId="7" xfId="0" applyNumberFormat="1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176" fontId="7" fillId="6" borderId="7" xfId="0" applyNumberFormat="1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 wrapText="1"/>
    </xf>
    <xf numFmtId="0" fontId="12" fillId="7" borderId="14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10" fontId="2" fillId="2" borderId="7" xfId="0" applyNumberFormat="1" applyFont="1" applyFill="1" applyBorder="1" applyAlignment="1">
      <alignment horizontal="center" vertical="center" wrapText="1"/>
    </xf>
    <xf numFmtId="178" fontId="9" fillId="2" borderId="7" xfId="0" applyNumberFormat="1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51"/>
  <sheetViews>
    <sheetView tabSelected="1" topLeftCell="E1" workbookViewId="0">
      <pane xSplit="2" ySplit="2" topLeftCell="G3" activePane="bottomRight" state="frozen"/>
      <selection/>
      <selection pane="topRight"/>
      <selection pane="bottomLeft"/>
      <selection pane="bottomRight" activeCell="E1" sqref="E1:E8"/>
    </sheetView>
  </sheetViews>
  <sheetFormatPr defaultColWidth="8" defaultRowHeight="20.25"/>
  <cols>
    <col min="1" max="1" width="8" style="1"/>
    <col min="2" max="2" width="22.5185185185185" style="1" customWidth="1"/>
    <col min="3" max="3" width="17.6296296296296" style="1" customWidth="1"/>
    <col min="4" max="5" width="14.0740740740741" style="1" customWidth="1"/>
    <col min="6" max="6" width="28.7185185185185" style="43" customWidth="1"/>
    <col min="7" max="7" width="54.6444444444444" style="44" customWidth="1"/>
    <col min="8" max="8" width="12" style="1" customWidth="1"/>
    <col min="9" max="9" width="15.6888888888889" style="1" customWidth="1"/>
    <col min="10" max="10" width="22.0740740740741" style="1" customWidth="1"/>
    <col min="11" max="16384" width="8" style="1"/>
  </cols>
  <sheetData>
    <row r="1" spans="1:11">
      <c r="C1" s="45" t="s">
        <v>0</v>
      </c>
      <c r="E1" s="45" t="s">
        <v>1</v>
      </c>
    </row>
    <row r="2" ht="50" customHeight="1" spans="1:11">
      <c r="A2" s="13" t="s">
        <v>2</v>
      </c>
      <c r="B2" s="40" t="s">
        <v>3</v>
      </c>
      <c r="C2" s="45"/>
      <c r="D2" s="46">
        <v>1</v>
      </c>
      <c r="E2" s="45"/>
      <c r="F2" s="47" t="s">
        <v>4</v>
      </c>
      <c r="G2" s="33" t="s">
        <v>5</v>
      </c>
      <c r="H2" s="48">
        <v>9</v>
      </c>
      <c r="I2" s="49">
        <v>48</v>
      </c>
      <c r="J2" s="10"/>
      <c r="K2" s="10"/>
    </row>
    <row r="3" ht="50" customHeight="1" spans="1:11">
      <c r="A3" s="18"/>
      <c r="B3" s="40"/>
      <c r="C3" s="45"/>
      <c r="D3" s="46"/>
      <c r="E3" s="45"/>
      <c r="F3" s="50" t="s">
        <v>6</v>
      </c>
      <c r="G3" s="33" t="s">
        <v>7</v>
      </c>
      <c r="H3" s="48">
        <v>13</v>
      </c>
      <c r="I3" s="49">
        <v>24</v>
      </c>
      <c r="J3" s="10"/>
      <c r="K3" s="10"/>
    </row>
    <row r="4" ht="50" customHeight="1" spans="1:11">
      <c r="A4" s="18"/>
      <c r="B4" s="40"/>
      <c r="C4" s="45"/>
      <c r="D4" s="46"/>
      <c r="E4" s="45"/>
      <c r="F4" s="50" t="s">
        <v>8</v>
      </c>
      <c r="G4" s="33" t="s">
        <v>9</v>
      </c>
      <c r="H4" s="48">
        <v>13</v>
      </c>
      <c r="I4" s="49">
        <v>24</v>
      </c>
      <c r="J4" s="10"/>
      <c r="K4" s="10"/>
    </row>
    <row r="5" ht="50" customHeight="1" spans="1:11">
      <c r="A5" s="18"/>
      <c r="B5" s="40" t="s">
        <v>10</v>
      </c>
      <c r="C5" s="45"/>
      <c r="D5" s="46">
        <v>2</v>
      </c>
      <c r="E5" s="45"/>
      <c r="F5" s="47" t="s">
        <v>11</v>
      </c>
      <c r="G5" s="33" t="s">
        <v>12</v>
      </c>
      <c r="H5" s="48">
        <v>16</v>
      </c>
      <c r="I5" s="49">
        <v>36</v>
      </c>
      <c r="J5" s="10"/>
      <c r="K5" s="10"/>
    </row>
    <row r="6" ht="50" customHeight="1" spans="1:11">
      <c r="A6" s="18"/>
      <c r="B6" s="40" t="s">
        <v>13</v>
      </c>
      <c r="C6" s="45"/>
      <c r="D6" s="46">
        <v>3</v>
      </c>
      <c r="E6" s="45"/>
      <c r="F6" s="50" t="s">
        <v>14</v>
      </c>
      <c r="G6" s="33" t="s">
        <v>15</v>
      </c>
      <c r="H6" s="51">
        <v>19</v>
      </c>
      <c r="I6" s="49">
        <v>30</v>
      </c>
      <c r="J6" s="10"/>
      <c r="K6" s="10"/>
    </row>
    <row r="7" ht="50" customHeight="1" spans="1:11">
      <c r="A7" s="18"/>
      <c r="B7" s="40" t="s">
        <v>13</v>
      </c>
      <c r="C7" s="45"/>
      <c r="D7" s="46">
        <v>4</v>
      </c>
      <c r="E7" s="45"/>
      <c r="F7" s="52" t="s">
        <v>16</v>
      </c>
      <c r="G7" s="33" t="s">
        <v>17</v>
      </c>
      <c r="H7" s="51">
        <v>19</v>
      </c>
      <c r="I7" s="49">
        <v>30</v>
      </c>
      <c r="J7" s="10"/>
      <c r="K7" s="10"/>
    </row>
    <row r="8" ht="50" customHeight="1" spans="1:11">
      <c r="A8" s="22"/>
      <c r="B8" s="53" t="s">
        <v>18</v>
      </c>
      <c r="C8" s="45"/>
      <c r="D8" s="46">
        <v>6</v>
      </c>
      <c r="E8" s="45"/>
      <c r="F8" s="47" t="s">
        <v>19</v>
      </c>
      <c r="G8" s="33" t="s">
        <v>20</v>
      </c>
      <c r="H8" s="51">
        <v>29</v>
      </c>
      <c r="I8" s="49">
        <v>60</v>
      </c>
    </row>
    <row r="9" ht="50" customHeight="1" spans="1:11">
      <c r="A9" s="18"/>
      <c r="B9" s="21"/>
      <c r="C9" s="54"/>
      <c r="D9" s="8"/>
      <c r="E9" s="45" t="s">
        <v>21</v>
      </c>
      <c r="F9" s="24" t="s">
        <v>22</v>
      </c>
      <c r="G9" s="17" t="s">
        <v>23</v>
      </c>
      <c r="H9" s="51">
        <v>19</v>
      </c>
      <c r="I9" s="49">
        <v>6</v>
      </c>
      <c r="J9" s="10"/>
      <c r="K9" s="10"/>
    </row>
    <row r="10" ht="50" customHeight="1" spans="1:11">
      <c r="A10" s="23" t="s">
        <v>24</v>
      </c>
      <c r="B10" s="8" t="s">
        <v>3</v>
      </c>
      <c r="C10" s="45" t="s">
        <v>25</v>
      </c>
      <c r="D10" s="8">
        <v>7</v>
      </c>
      <c r="E10" s="54"/>
      <c r="F10" s="24" t="s">
        <v>26</v>
      </c>
      <c r="G10" s="17" t="s">
        <v>27</v>
      </c>
      <c r="H10" s="51">
        <v>20</v>
      </c>
      <c r="I10" s="49">
        <v>9</v>
      </c>
      <c r="J10" s="10"/>
      <c r="K10" s="10"/>
    </row>
    <row r="11" ht="50" customHeight="1" spans="1:11">
      <c r="A11" s="25"/>
      <c r="B11" s="21"/>
      <c r="C11" s="54"/>
      <c r="D11" s="8"/>
      <c r="E11" s="54"/>
      <c r="F11" s="24" t="s">
        <v>28</v>
      </c>
      <c r="G11" s="17" t="s">
        <v>29</v>
      </c>
      <c r="H11" s="48">
        <v>22</v>
      </c>
      <c r="I11" s="49">
        <v>5</v>
      </c>
      <c r="J11" s="10"/>
      <c r="K11" s="10"/>
    </row>
    <row r="12" ht="50" customHeight="1" spans="1:11">
      <c r="A12" s="25"/>
      <c r="B12" s="21" t="s">
        <v>3</v>
      </c>
      <c r="C12" s="54"/>
      <c r="D12" s="8">
        <v>9</v>
      </c>
      <c r="E12" s="55"/>
      <c r="F12" s="24" t="s">
        <v>30</v>
      </c>
      <c r="G12" s="17" t="s">
        <v>31</v>
      </c>
      <c r="H12" s="48">
        <v>16</v>
      </c>
      <c r="I12" s="49">
        <v>3</v>
      </c>
      <c r="J12" s="10"/>
      <c r="K12" s="10"/>
    </row>
    <row r="13" ht="50" customHeight="1" spans="1:11">
      <c r="A13" s="25"/>
      <c r="B13" s="21"/>
      <c r="C13" s="54"/>
      <c r="D13" s="8"/>
      <c r="E13" s="56"/>
      <c r="F13" s="24" t="s">
        <v>32</v>
      </c>
      <c r="G13" s="17" t="s">
        <v>33</v>
      </c>
      <c r="H13" s="48">
        <v>14.9</v>
      </c>
      <c r="I13" s="49">
        <v>9</v>
      </c>
      <c r="J13" s="10"/>
      <c r="K13" s="10"/>
    </row>
    <row r="14" ht="50" customHeight="1" spans="1:11">
      <c r="A14" s="25"/>
      <c r="B14" s="21" t="s">
        <v>18</v>
      </c>
      <c r="C14" s="54"/>
      <c r="D14" s="8">
        <v>10</v>
      </c>
      <c r="E14" s="56" t="s">
        <v>34</v>
      </c>
      <c r="F14" s="24" t="s">
        <v>35</v>
      </c>
      <c r="G14" s="17" t="s">
        <v>36</v>
      </c>
      <c r="H14" s="48">
        <v>9</v>
      </c>
      <c r="I14" s="49">
        <v>12</v>
      </c>
      <c r="J14" s="10"/>
      <c r="K14" s="10"/>
    </row>
    <row r="15" ht="50" customHeight="1" spans="1:11">
      <c r="A15" s="25"/>
      <c r="B15" s="21"/>
      <c r="C15" s="54"/>
      <c r="D15" s="8"/>
      <c r="E15" s="56"/>
      <c r="F15" s="24" t="s">
        <v>37</v>
      </c>
      <c r="G15" s="17"/>
      <c r="H15" s="48">
        <v>10</v>
      </c>
      <c r="I15" s="49">
        <v>12</v>
      </c>
    </row>
    <row r="16" ht="50" customHeight="1" spans="1:11">
      <c r="A16" s="25"/>
      <c r="B16" s="21" t="s">
        <v>18</v>
      </c>
      <c r="C16" s="54"/>
      <c r="D16" s="8">
        <v>11</v>
      </c>
      <c r="E16" s="56"/>
      <c r="F16" s="24" t="s">
        <v>38</v>
      </c>
      <c r="G16" s="17" t="s">
        <v>39</v>
      </c>
      <c r="H16" s="48">
        <v>9</v>
      </c>
      <c r="I16" s="49">
        <v>12</v>
      </c>
    </row>
    <row r="17" ht="50" customHeight="1" spans="1:11">
      <c r="A17" s="25"/>
      <c r="B17" s="21" t="s">
        <v>40</v>
      </c>
      <c r="C17" s="54"/>
      <c r="D17" s="8">
        <v>12</v>
      </c>
      <c r="E17" s="56"/>
      <c r="F17" s="24" t="s">
        <v>41</v>
      </c>
      <c r="G17" s="17" t="s">
        <v>42</v>
      </c>
      <c r="H17" s="48">
        <v>10</v>
      </c>
      <c r="I17" s="49">
        <v>12</v>
      </c>
      <c r="J17" s="10"/>
      <c r="K17" s="10"/>
    </row>
    <row r="18" ht="50" customHeight="1" spans="1:11">
      <c r="A18" s="30"/>
      <c r="B18" s="31" t="s">
        <v>43</v>
      </c>
      <c r="C18" s="54"/>
      <c r="D18" s="8">
        <v>16</v>
      </c>
      <c r="E18" s="56"/>
      <c r="F18" s="29" t="s">
        <v>44</v>
      </c>
      <c r="G18" s="33" t="s">
        <v>45</v>
      </c>
      <c r="H18" s="48">
        <v>10</v>
      </c>
      <c r="I18" s="49">
        <v>12</v>
      </c>
    </row>
    <row r="19" ht="50" customHeight="1" spans="1:11">
      <c r="A19" s="30"/>
      <c r="B19" s="21" t="s">
        <v>40</v>
      </c>
      <c r="C19" s="54"/>
      <c r="D19" s="8">
        <v>17</v>
      </c>
      <c r="E19" s="56"/>
      <c r="F19" s="29" t="s">
        <v>46</v>
      </c>
      <c r="G19" s="33" t="s">
        <v>47</v>
      </c>
      <c r="H19" s="48">
        <v>10</v>
      </c>
      <c r="I19" s="49">
        <v>12</v>
      </c>
    </row>
    <row r="20" ht="50" customHeight="1" spans="1:11">
      <c r="A20" s="30"/>
      <c r="B20" s="21" t="s">
        <v>48</v>
      </c>
      <c r="C20" s="54"/>
      <c r="D20" s="8">
        <v>21</v>
      </c>
      <c r="E20" s="56"/>
      <c r="F20" s="29" t="s">
        <v>49</v>
      </c>
      <c r="G20" s="33" t="s">
        <v>50</v>
      </c>
      <c r="H20" s="48">
        <v>12</v>
      </c>
      <c r="I20" s="49">
        <v>6</v>
      </c>
    </row>
    <row r="21" ht="50" customHeight="1" spans="1:11">
      <c r="A21" s="8"/>
      <c r="B21" s="8"/>
      <c r="C21" s="54"/>
      <c r="D21" s="8"/>
      <c r="E21" s="57"/>
      <c r="F21" s="19" t="s">
        <v>51</v>
      </c>
      <c r="G21" s="33" t="s">
        <v>52</v>
      </c>
      <c r="H21" s="58">
        <v>9.9</v>
      </c>
      <c r="I21" s="49">
        <v>6</v>
      </c>
    </row>
    <row r="22" ht="50" customHeight="1" spans="1:11">
      <c r="A22" s="8"/>
      <c r="B22" s="8"/>
      <c r="C22" s="8"/>
      <c r="D22" s="8">
        <v>25</v>
      </c>
      <c r="E22" s="45" t="s">
        <v>53</v>
      </c>
      <c r="F22" s="19" t="s">
        <v>54</v>
      </c>
      <c r="G22" s="33" t="s">
        <v>55</v>
      </c>
      <c r="H22" s="58">
        <v>23</v>
      </c>
      <c r="I22" s="49">
        <v>6</v>
      </c>
    </row>
    <row r="23" ht="50" customHeight="1" spans="1:11">
      <c r="A23" s="8"/>
      <c r="B23" s="8"/>
      <c r="C23" s="8"/>
      <c r="D23" s="8">
        <v>26</v>
      </c>
      <c r="E23" s="54"/>
      <c r="F23" s="29" t="s">
        <v>56</v>
      </c>
      <c r="G23" s="33" t="s">
        <v>57</v>
      </c>
      <c r="H23" s="58">
        <v>25</v>
      </c>
      <c r="I23" s="49">
        <v>6</v>
      </c>
    </row>
    <row r="24" ht="50" customHeight="1" spans="1:11">
      <c r="A24" s="8" t="s">
        <v>58</v>
      </c>
      <c r="B24" s="21" t="s">
        <v>59</v>
      </c>
      <c r="C24" s="21"/>
      <c r="D24" s="8">
        <v>27</v>
      </c>
      <c r="E24" s="54"/>
      <c r="F24" s="29" t="s">
        <v>60</v>
      </c>
      <c r="G24" s="33" t="s">
        <v>61</v>
      </c>
      <c r="H24" s="48">
        <v>23</v>
      </c>
      <c r="I24" s="49">
        <v>6</v>
      </c>
    </row>
    <row r="25" ht="50" customHeight="1" spans="1:11">
      <c r="A25" s="8"/>
      <c r="B25" s="21" t="s">
        <v>62</v>
      </c>
      <c r="C25" s="21"/>
      <c r="D25" s="8">
        <v>29</v>
      </c>
      <c r="E25" s="54"/>
      <c r="F25" s="29" t="s">
        <v>63</v>
      </c>
      <c r="G25" s="33" t="s">
        <v>64</v>
      </c>
      <c r="H25" s="48">
        <v>13</v>
      </c>
      <c r="I25" s="49">
        <v>6</v>
      </c>
    </row>
    <row r="26" ht="50" customHeight="1" spans="1:11">
      <c r="A26" s="8"/>
      <c r="B26" s="8"/>
      <c r="C26" s="8"/>
      <c r="D26" s="8">
        <v>30</v>
      </c>
      <c r="E26" s="54"/>
      <c r="F26" s="29" t="s">
        <v>65</v>
      </c>
      <c r="G26" s="33" t="s">
        <v>66</v>
      </c>
      <c r="H26" s="48">
        <v>12</v>
      </c>
      <c r="I26" s="49">
        <v>6</v>
      </c>
    </row>
    <row r="27" ht="50" customHeight="1" spans="1:11">
      <c r="A27" s="35"/>
      <c r="B27" s="8"/>
      <c r="C27" s="8"/>
      <c r="D27" s="8">
        <v>35</v>
      </c>
      <c r="E27" s="45" t="s">
        <v>67</v>
      </c>
      <c r="F27" s="29" t="s">
        <v>68</v>
      </c>
      <c r="G27" s="33" t="s">
        <v>69</v>
      </c>
      <c r="H27" s="48">
        <v>9</v>
      </c>
      <c r="I27" s="49">
        <v>16</v>
      </c>
    </row>
    <row r="28" ht="50" customHeight="1" spans="1:11">
      <c r="A28" s="21" t="s">
        <v>70</v>
      </c>
      <c r="B28" s="8"/>
      <c r="C28" s="8"/>
      <c r="D28" s="8">
        <v>38</v>
      </c>
      <c r="E28" s="45" t="s">
        <v>71</v>
      </c>
      <c r="F28" s="29" t="s">
        <v>72</v>
      </c>
      <c r="G28" s="33" t="s">
        <v>73</v>
      </c>
      <c r="H28" s="48">
        <v>20</v>
      </c>
      <c r="I28" s="49">
        <v>6</v>
      </c>
    </row>
    <row r="29" ht="50" customHeight="1" spans="1:11">
      <c r="A29" s="21"/>
      <c r="B29" s="8"/>
      <c r="C29" s="8"/>
      <c r="D29" s="8">
        <v>39</v>
      </c>
      <c r="E29" s="54"/>
      <c r="F29" s="59" t="s">
        <v>74</v>
      </c>
      <c r="G29" s="33" t="s">
        <v>75</v>
      </c>
      <c r="H29" s="48">
        <v>17</v>
      </c>
      <c r="I29" s="49">
        <v>15</v>
      </c>
    </row>
    <row r="30" ht="50" customHeight="1" spans="1:11">
      <c r="A30" s="21"/>
      <c r="B30" s="8"/>
      <c r="C30" s="8"/>
      <c r="D30" s="8">
        <v>40</v>
      </c>
      <c r="E30" s="54"/>
      <c r="F30" s="29" t="s">
        <v>76</v>
      </c>
      <c r="G30" s="33" t="s">
        <v>77</v>
      </c>
      <c r="H30" s="48">
        <v>20</v>
      </c>
      <c r="I30" s="49">
        <v>15</v>
      </c>
    </row>
    <row r="31" ht="50" customHeight="1" spans="1:11">
      <c r="A31" s="37"/>
      <c r="B31" s="38"/>
      <c r="C31" s="38"/>
      <c r="D31" s="39"/>
      <c r="E31" s="55"/>
      <c r="F31" s="33" t="s">
        <v>78</v>
      </c>
      <c r="G31" s="33" t="s">
        <v>79</v>
      </c>
      <c r="H31" s="58">
        <v>20</v>
      </c>
      <c r="I31" s="49">
        <v>6</v>
      </c>
    </row>
    <row r="32" ht="50" customHeight="1" spans="1:11">
      <c r="A32" s="37"/>
      <c r="B32" s="38"/>
      <c r="C32" s="38"/>
      <c r="D32" s="39"/>
      <c r="E32" s="54" t="s">
        <v>80</v>
      </c>
      <c r="F32" s="60" t="s">
        <v>81</v>
      </c>
      <c r="G32" s="33" t="s">
        <v>82</v>
      </c>
      <c r="H32" s="48">
        <v>15</v>
      </c>
      <c r="I32" s="49">
        <v>24</v>
      </c>
    </row>
    <row r="33" ht="50" customHeight="1" spans="1:9">
      <c r="A33" s="37"/>
      <c r="B33" s="38"/>
      <c r="C33" s="38"/>
      <c r="D33" s="39"/>
      <c r="E33" s="54"/>
      <c r="F33" s="33" t="s">
        <v>83</v>
      </c>
      <c r="G33" s="33" t="s">
        <v>84</v>
      </c>
      <c r="H33" s="61">
        <v>18</v>
      </c>
      <c r="I33" s="49">
        <v>24</v>
      </c>
    </row>
    <row r="34" ht="50" customHeight="1" spans="1:9">
      <c r="A34" s="37"/>
      <c r="B34" s="38"/>
      <c r="C34" s="38"/>
      <c r="D34" s="39"/>
      <c r="E34" s="54"/>
      <c r="F34" s="33" t="s">
        <v>85</v>
      </c>
      <c r="G34" s="33" t="s">
        <v>86</v>
      </c>
      <c r="H34" s="61">
        <v>22</v>
      </c>
      <c r="I34" s="49">
        <v>6</v>
      </c>
    </row>
    <row r="35" ht="50" customHeight="1" spans="1:9">
      <c r="A35" s="37"/>
      <c r="B35" s="38"/>
      <c r="C35" s="38"/>
      <c r="D35" s="39"/>
      <c r="E35" s="54"/>
      <c r="F35" s="60" t="s">
        <v>87</v>
      </c>
      <c r="G35" s="33" t="s">
        <v>88</v>
      </c>
      <c r="H35" s="61">
        <v>23</v>
      </c>
      <c r="I35" s="49">
        <v>6</v>
      </c>
    </row>
    <row r="36" ht="50" customHeight="1" spans="1:9">
      <c r="A36" s="37"/>
      <c r="B36" s="38"/>
      <c r="C36" s="38"/>
      <c r="D36" s="39"/>
      <c r="E36" s="55"/>
      <c r="F36" s="33" t="s">
        <v>89</v>
      </c>
      <c r="G36" s="33" t="s">
        <v>90</v>
      </c>
      <c r="H36" s="61">
        <v>25</v>
      </c>
      <c r="I36" s="49">
        <v>6</v>
      </c>
    </row>
    <row r="37" ht="50" customHeight="1" spans="1:9">
      <c r="A37" s="37"/>
      <c r="B37" s="38"/>
      <c r="C37" s="38"/>
      <c r="D37" s="39"/>
      <c r="E37" s="54"/>
      <c r="F37" s="59" t="s">
        <v>91</v>
      </c>
      <c r="G37" s="62" t="s">
        <v>92</v>
      </c>
      <c r="H37" s="63">
        <v>27.9</v>
      </c>
      <c r="I37" s="49">
        <v>10</v>
      </c>
    </row>
    <row r="38" ht="50" customHeight="1" spans="1:9">
      <c r="A38" s="37"/>
      <c r="B38" s="38"/>
      <c r="C38" s="38"/>
      <c r="D38" s="39"/>
      <c r="E38" s="54"/>
      <c r="F38" s="59" t="s">
        <v>93</v>
      </c>
      <c r="G38" s="62" t="s">
        <v>94</v>
      </c>
      <c r="H38" s="63">
        <v>29.9</v>
      </c>
      <c r="I38" s="49">
        <v>10</v>
      </c>
    </row>
    <row r="39" ht="50" customHeight="1" spans="1:9">
      <c r="A39" s="37"/>
      <c r="B39" s="38"/>
      <c r="C39" s="38"/>
      <c r="D39" s="39"/>
      <c r="E39" s="54"/>
      <c r="F39" s="59" t="s">
        <v>95</v>
      </c>
      <c r="G39" s="64" t="s">
        <v>96</v>
      </c>
      <c r="H39" s="63">
        <v>11.9</v>
      </c>
      <c r="I39" s="49">
        <v>30</v>
      </c>
    </row>
    <row r="40" ht="50" customHeight="1" spans="1:9">
      <c r="A40" s="37"/>
      <c r="B40" s="38"/>
      <c r="C40" s="38"/>
      <c r="D40" s="39"/>
      <c r="E40" s="54"/>
      <c r="F40" s="59" t="s">
        <v>97</v>
      </c>
      <c r="G40" s="64" t="s">
        <v>98</v>
      </c>
      <c r="H40" s="63">
        <v>11.9</v>
      </c>
      <c r="I40" s="49">
        <v>30</v>
      </c>
    </row>
    <row r="41" ht="50" customHeight="1" spans="1:9">
      <c r="A41" s="37"/>
      <c r="B41" s="38"/>
      <c r="C41" s="38"/>
      <c r="D41" s="39"/>
      <c r="E41" s="54"/>
      <c r="F41" s="59" t="s">
        <v>99</v>
      </c>
      <c r="G41" s="64" t="s">
        <v>100</v>
      </c>
      <c r="H41" s="63">
        <v>8.9</v>
      </c>
      <c r="I41" s="49">
        <v>30</v>
      </c>
    </row>
    <row r="42" ht="50" customHeight="1" spans="1:9">
      <c r="A42" s="37"/>
      <c r="B42" s="38"/>
      <c r="C42" s="38"/>
      <c r="D42" s="39"/>
      <c r="E42" s="54" t="s">
        <v>101</v>
      </c>
      <c r="F42" s="65" t="s">
        <v>102</v>
      </c>
      <c r="G42" s="65" t="s">
        <v>103</v>
      </c>
      <c r="H42" s="66">
        <v>17.9</v>
      </c>
      <c r="I42" s="49">
        <v>16</v>
      </c>
    </row>
    <row r="43" ht="50" customHeight="1" spans="1:9">
      <c r="A43" s="37"/>
      <c r="B43" s="38"/>
      <c r="C43" s="38"/>
      <c r="D43" s="39"/>
      <c r="E43" s="54"/>
      <c r="F43" s="65" t="s">
        <v>104</v>
      </c>
      <c r="G43" s="65" t="s">
        <v>105</v>
      </c>
      <c r="H43" s="66">
        <v>18.9</v>
      </c>
      <c r="I43" s="49">
        <v>16</v>
      </c>
    </row>
    <row r="44" ht="50" customHeight="1" spans="1:9">
      <c r="A44" s="37"/>
      <c r="B44" s="38"/>
      <c r="C44" s="38"/>
      <c r="D44" s="39"/>
      <c r="E44" s="54"/>
      <c r="F44" s="65" t="s">
        <v>106</v>
      </c>
      <c r="G44" s="65" t="s">
        <v>107</v>
      </c>
      <c r="H44" s="66">
        <v>18.9</v>
      </c>
      <c r="I44" s="49">
        <v>16</v>
      </c>
    </row>
    <row r="45" ht="50" customHeight="1" spans="1:9">
      <c r="A45" s="37"/>
      <c r="B45" s="38"/>
      <c r="C45" s="38"/>
      <c r="D45" s="39"/>
      <c r="E45" s="55"/>
      <c r="F45" s="65" t="s">
        <v>108</v>
      </c>
      <c r="G45" s="65" t="s">
        <v>109</v>
      </c>
      <c r="H45" s="66">
        <v>18.9</v>
      </c>
      <c r="I45" s="49">
        <v>16</v>
      </c>
    </row>
    <row r="46" ht="50" customHeight="1" spans="1:9">
      <c r="A46" s="37"/>
      <c r="B46" s="38"/>
      <c r="C46" s="38"/>
      <c r="D46" s="39"/>
      <c r="E46" s="55"/>
      <c r="F46" s="33" t="s">
        <v>110</v>
      </c>
      <c r="G46" s="33" t="s">
        <v>111</v>
      </c>
      <c r="H46" s="67">
        <v>6</v>
      </c>
      <c r="I46" s="49">
        <v>24</v>
      </c>
    </row>
    <row r="47" ht="50" customHeight="1" spans="1:9">
      <c r="A47" s="8" t="s">
        <v>112</v>
      </c>
      <c r="B47" s="8"/>
      <c r="C47" s="8"/>
      <c r="D47" s="8"/>
      <c r="E47" s="8"/>
      <c r="F47" s="33"/>
      <c r="G47" s="33"/>
      <c r="H47" s="8"/>
      <c r="I47" s="68"/>
    </row>
    <row r="48" ht="50" customHeight="1" spans="1:9">
      <c r="A48" s="40" t="s">
        <v>113</v>
      </c>
      <c r="B48" s="41"/>
      <c r="C48" s="41"/>
      <c r="D48" s="8"/>
      <c r="E48" s="8"/>
      <c r="F48" s="33"/>
      <c r="G48" s="33"/>
      <c r="H48" s="8"/>
      <c r="I48" s="68"/>
    </row>
    <row r="49" ht="50" customHeight="1" spans="1:9">
      <c r="A49" s="40" t="s">
        <v>114</v>
      </c>
      <c r="B49" s="41"/>
      <c r="C49" s="41"/>
      <c r="D49" s="8"/>
      <c r="E49" s="8"/>
      <c r="F49" s="33"/>
      <c r="G49" s="33"/>
      <c r="H49" s="8"/>
      <c r="I49" s="68"/>
    </row>
    <row r="50" ht="50" customHeight="1" spans="1:9">
      <c r="A50" s="35" t="s">
        <v>115</v>
      </c>
      <c r="B50" s="35"/>
      <c r="C50" s="35"/>
      <c r="D50" s="35"/>
      <c r="E50" s="35"/>
      <c r="F50" s="29"/>
      <c r="G50" s="33"/>
      <c r="H50" s="69"/>
      <c r="I50" s="70"/>
    </row>
    <row r="51" ht="169" customHeight="1" spans="1:9">
      <c r="A51" s="42" t="s">
        <v>116</v>
      </c>
      <c r="B51" s="35"/>
      <c r="C51" s="35"/>
      <c r="D51" s="42"/>
      <c r="E51" s="42"/>
      <c r="F51" s="71"/>
      <c r="G51" s="33"/>
      <c r="H51" s="42"/>
      <c r="I51" s="42"/>
    </row>
  </sheetData>
  <sheetProtection formatCells="0" formatColumns="0" formatRows="0" insertRows="0" insertColumns="0" insertHyperlinks="0" deleteColumns="0" deleteRows="0" sort="0" autoFilter="0" pivotTables="0"/>
  <mergeCells count="19">
    <mergeCell ref="A48:B48"/>
    <mergeCell ref="A49:B49"/>
    <mergeCell ref="A10:A17"/>
    <mergeCell ref="A18:A20"/>
    <mergeCell ref="A22:A23"/>
    <mergeCell ref="A24:A25"/>
    <mergeCell ref="A28:A30"/>
    <mergeCell ref="B22:B23"/>
    <mergeCell ref="C1:C8"/>
    <mergeCell ref="C10:C17"/>
    <mergeCell ref="C18:C20"/>
    <mergeCell ref="E1:E8"/>
    <mergeCell ref="E9:E12"/>
    <mergeCell ref="E14:E20"/>
    <mergeCell ref="E22:E26"/>
    <mergeCell ref="E28:E31"/>
    <mergeCell ref="E32:E36"/>
    <mergeCell ref="E37:E41"/>
    <mergeCell ref="E42:E45"/>
  </mergeCells>
  <pageMargins left="0.75" right="0.75" top="1" bottom="1" header="0.5" footer="0.5"/>
  <pageSetup paperSize="9" scale="25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zoomScale="60" zoomScaleNormal="60" workbookViewId="0">
      <selection activeCell="B18" sqref="B18"/>
    </sheetView>
  </sheetViews>
  <sheetFormatPr defaultColWidth="8" defaultRowHeight="13.5"/>
  <cols>
    <col min="1" max="1" width="8" style="1"/>
    <col min="2" max="2" width="22.5185185185185" style="1" customWidth="1"/>
    <col min="3" max="3" width="14.0740740740741" style="1" customWidth="1"/>
    <col min="4" max="4" width="25.037037037037" style="1" customWidth="1"/>
    <col min="5" max="5" width="8.59259259259259" style="1"/>
    <col min="6" max="6" width="8" style="1"/>
    <col min="7" max="7" width="32.7407407407407" style="1" customWidth="1"/>
    <col min="8" max="8" width="8" style="1"/>
    <col min="9" max="10" width="16.7407407407407" style="1" customWidth="1"/>
    <col min="11" max="11" width="50.2222222222222" style="1" customWidth="1"/>
    <col min="12" max="16384" width="8" style="1"/>
  </cols>
  <sheetData>
    <row r="1" ht="50" customHeight="1" spans="1:13">
      <c r="A1" s="2" t="s">
        <v>117</v>
      </c>
      <c r="B1" s="3"/>
      <c r="C1" s="3"/>
      <c r="D1" s="4"/>
    </row>
    <row r="2" ht="50" customHeight="1" spans="1:13">
      <c r="A2" s="5"/>
      <c r="B2" s="6"/>
      <c r="C2" s="6"/>
      <c r="D2" s="7"/>
    </row>
    <row r="3" ht="50" customHeight="1" spans="1:13">
      <c r="A3" s="8" t="s">
        <v>118</v>
      </c>
      <c r="B3" s="8"/>
      <c r="C3" s="8"/>
      <c r="D3" s="9" t="e">
        <f>#REF!*#REF!</f>
        <v>#REF!</v>
      </c>
      <c r="E3" s="10"/>
    </row>
    <row r="4" ht="50" customHeight="1" spans="1:13">
      <c r="A4" s="11" t="s">
        <v>119</v>
      </c>
      <c r="B4" s="11" t="s">
        <v>120</v>
      </c>
      <c r="C4" s="8" t="s">
        <v>121</v>
      </c>
      <c r="D4" s="12" t="s">
        <v>122</v>
      </c>
      <c r="E4" s="10"/>
    </row>
    <row r="5" ht="50" customHeight="1" spans="1:13">
      <c r="A5" s="13" t="s">
        <v>2</v>
      </c>
      <c r="B5" s="8" t="s">
        <v>3</v>
      </c>
      <c r="C5" s="8">
        <v>1</v>
      </c>
      <c r="D5" s="14" t="s">
        <v>4</v>
      </c>
      <c r="E5" s="10"/>
      <c r="F5" s="8">
        <v>1</v>
      </c>
      <c r="G5" s="15" t="s">
        <v>4</v>
      </c>
      <c r="H5" s="16">
        <v>12.8</v>
      </c>
      <c r="I5" s="17">
        <v>50</v>
      </c>
      <c r="J5" s="17">
        <v>1</v>
      </c>
      <c r="K5" s="14" t="s">
        <v>4</v>
      </c>
      <c r="L5" s="16">
        <v>12.8</v>
      </c>
      <c r="M5" s="17">
        <v>50</v>
      </c>
    </row>
    <row r="6" ht="50" customHeight="1" spans="1:13">
      <c r="A6" s="18"/>
      <c r="B6" s="8" t="s">
        <v>10</v>
      </c>
      <c r="C6" s="8">
        <v>2</v>
      </c>
      <c r="D6" s="14" t="s">
        <v>123</v>
      </c>
      <c r="E6" s="10"/>
      <c r="F6" s="8">
        <v>2</v>
      </c>
      <c r="G6" s="15" t="s">
        <v>123</v>
      </c>
      <c r="H6" s="16">
        <v>26.9</v>
      </c>
      <c r="I6" s="17">
        <v>24</v>
      </c>
      <c r="J6" s="17">
        <v>2</v>
      </c>
      <c r="K6" s="14" t="s">
        <v>123</v>
      </c>
      <c r="L6" s="16">
        <v>26.9</v>
      </c>
      <c r="M6" s="17">
        <v>24</v>
      </c>
    </row>
    <row r="7" ht="50" customHeight="1" spans="1:13">
      <c r="A7" s="18"/>
      <c r="B7" s="8" t="s">
        <v>13</v>
      </c>
      <c r="C7" s="8">
        <v>3</v>
      </c>
      <c r="D7" s="14" t="s">
        <v>124</v>
      </c>
      <c r="E7" s="10" t="e">
        <f>SUM(#REF!)+0.5*#REF!</f>
        <v>#REF!</v>
      </c>
      <c r="F7" s="8">
        <v>3</v>
      </c>
      <c r="G7" s="15" t="s">
        <v>124</v>
      </c>
      <c r="H7" s="16">
        <v>26</v>
      </c>
      <c r="I7" s="17">
        <v>6</v>
      </c>
      <c r="J7" s="17">
        <v>3</v>
      </c>
      <c r="K7" s="14" t="s">
        <v>124</v>
      </c>
      <c r="L7" s="16">
        <v>26</v>
      </c>
      <c r="M7" s="17">
        <v>6</v>
      </c>
    </row>
    <row r="8" ht="50" customHeight="1" spans="1:13">
      <c r="A8" s="18"/>
      <c r="B8" s="8" t="s">
        <v>13</v>
      </c>
      <c r="C8" s="8"/>
      <c r="D8" s="14" t="s">
        <v>125</v>
      </c>
      <c r="E8" s="10"/>
      <c r="F8" s="8">
        <v>4</v>
      </c>
      <c r="G8" s="15" t="s">
        <v>125</v>
      </c>
      <c r="H8" s="16">
        <v>19.8</v>
      </c>
      <c r="I8" s="17">
        <v>12</v>
      </c>
      <c r="J8" s="17">
        <v>4</v>
      </c>
      <c r="K8" s="19" t="s">
        <v>126</v>
      </c>
      <c r="L8" s="20">
        <v>12.8</v>
      </c>
      <c r="M8" s="17">
        <v>10</v>
      </c>
    </row>
    <row r="9" ht="50" customHeight="1" spans="1:13">
      <c r="A9" s="18"/>
      <c r="B9" s="21" t="s">
        <v>13</v>
      </c>
      <c r="C9" s="8">
        <v>5</v>
      </c>
      <c r="D9" s="14" t="s">
        <v>127</v>
      </c>
      <c r="E9" s="10"/>
      <c r="F9" s="8">
        <v>5</v>
      </c>
      <c r="G9" s="15" t="s">
        <v>127</v>
      </c>
      <c r="H9" s="16">
        <v>19.8</v>
      </c>
      <c r="I9" s="17">
        <v>8</v>
      </c>
      <c r="J9" s="17">
        <v>5</v>
      </c>
      <c r="K9" s="19" t="s">
        <v>128</v>
      </c>
      <c r="L9" s="20">
        <v>14.9</v>
      </c>
      <c r="M9" s="17">
        <v>10</v>
      </c>
    </row>
    <row r="10" ht="50" customHeight="1" spans="1:13">
      <c r="A10" s="22"/>
      <c r="B10" s="21" t="s">
        <v>18</v>
      </c>
      <c r="C10" s="8">
        <v>6</v>
      </c>
      <c r="D10" s="14" t="s">
        <v>16</v>
      </c>
      <c r="E10" s="10"/>
      <c r="F10" s="8">
        <v>6</v>
      </c>
      <c r="G10" s="15" t="s">
        <v>16</v>
      </c>
      <c r="H10" s="16">
        <v>29.8</v>
      </c>
      <c r="I10" s="17">
        <v>30</v>
      </c>
      <c r="J10" s="17">
        <v>6</v>
      </c>
      <c r="K10" s="19" t="s">
        <v>129</v>
      </c>
      <c r="L10" s="20">
        <v>13.8</v>
      </c>
      <c r="M10" s="17">
        <v>12</v>
      </c>
    </row>
    <row r="11" ht="50" customHeight="1" spans="1:13">
      <c r="A11" s="23" t="s">
        <v>24</v>
      </c>
      <c r="B11" s="8" t="s">
        <v>3</v>
      </c>
      <c r="C11" s="8">
        <v>7</v>
      </c>
      <c r="D11" s="24" t="s">
        <v>130</v>
      </c>
      <c r="E11" s="10" t="e">
        <f>SUM(#REF!)+0.5*#REF!</f>
        <v>#REF!</v>
      </c>
      <c r="F11" s="8">
        <v>7</v>
      </c>
      <c r="G11" s="15" t="s">
        <v>130</v>
      </c>
      <c r="H11" s="20">
        <v>14.9</v>
      </c>
      <c r="I11" s="17">
        <v>20</v>
      </c>
      <c r="J11" s="17">
        <v>7</v>
      </c>
      <c r="K11" s="24" t="s">
        <v>130</v>
      </c>
      <c r="L11" s="20">
        <v>14.9</v>
      </c>
      <c r="M11" s="17">
        <v>20</v>
      </c>
    </row>
    <row r="12" ht="50" customHeight="1" spans="1:13">
      <c r="A12" s="25"/>
      <c r="B12" s="21" t="s">
        <v>43</v>
      </c>
      <c r="C12" s="8">
        <v>8</v>
      </c>
      <c r="D12" s="24" t="s">
        <v>131</v>
      </c>
      <c r="E12" s="10"/>
      <c r="F12" s="8">
        <v>8</v>
      </c>
      <c r="G12" s="15" t="s">
        <v>131</v>
      </c>
      <c r="H12" s="16">
        <v>23.8</v>
      </c>
      <c r="I12" s="17">
        <v>12</v>
      </c>
      <c r="J12" s="17">
        <v>8</v>
      </c>
      <c r="K12" s="26" t="s">
        <v>132</v>
      </c>
      <c r="L12" s="16">
        <v>15.8</v>
      </c>
      <c r="M12" s="17">
        <v>20</v>
      </c>
    </row>
    <row r="13" ht="50" customHeight="1" spans="1:13">
      <c r="A13" s="25"/>
      <c r="B13" s="21" t="s">
        <v>3</v>
      </c>
      <c r="C13" s="8">
        <v>9</v>
      </c>
      <c r="D13" s="26" t="s">
        <v>132</v>
      </c>
      <c r="E13" s="10" t="e">
        <f>E11+#REF!+0.5*#REF!+0.5*#REF!</f>
        <v>#REF!</v>
      </c>
      <c r="F13" s="8">
        <v>9</v>
      </c>
      <c r="G13" s="15" t="s">
        <v>132</v>
      </c>
      <c r="H13" s="16">
        <v>15.8</v>
      </c>
      <c r="I13" s="17">
        <v>20</v>
      </c>
      <c r="J13" s="17">
        <v>9</v>
      </c>
      <c r="K13" s="24" t="s">
        <v>133</v>
      </c>
      <c r="L13" s="20">
        <v>26</v>
      </c>
      <c r="M13" s="17">
        <v>10</v>
      </c>
    </row>
    <row r="14" ht="50" customHeight="1" spans="1:13">
      <c r="A14" s="25"/>
      <c r="B14" s="21" t="s">
        <v>18</v>
      </c>
      <c r="C14" s="8">
        <v>10</v>
      </c>
      <c r="D14" s="26" t="s">
        <v>134</v>
      </c>
      <c r="E14" s="10"/>
      <c r="F14" s="8">
        <v>10</v>
      </c>
      <c r="G14" s="15" t="s">
        <v>134</v>
      </c>
      <c r="H14" s="16">
        <v>29.8</v>
      </c>
      <c r="I14" s="17">
        <v>30</v>
      </c>
      <c r="J14" s="17">
        <v>10</v>
      </c>
      <c r="K14" s="14" t="s">
        <v>127</v>
      </c>
      <c r="L14" s="16">
        <v>19.8</v>
      </c>
      <c r="M14" s="17">
        <v>8</v>
      </c>
    </row>
    <row r="15" ht="50" customHeight="1" spans="1:13">
      <c r="A15" s="25"/>
      <c r="B15" s="21" t="s">
        <v>18</v>
      </c>
      <c r="C15" s="8">
        <v>11</v>
      </c>
      <c r="D15" s="26" t="s">
        <v>135</v>
      </c>
      <c r="E15" s="10"/>
      <c r="F15" s="8">
        <v>11</v>
      </c>
      <c r="G15" s="15" t="s">
        <v>135</v>
      </c>
      <c r="H15" s="16">
        <v>29.8</v>
      </c>
      <c r="I15" s="17">
        <v>30</v>
      </c>
      <c r="J15" s="17">
        <v>11</v>
      </c>
      <c r="K15" s="26" t="s">
        <v>136</v>
      </c>
      <c r="L15" s="16">
        <v>23.8</v>
      </c>
      <c r="M15" s="17">
        <v>6</v>
      </c>
    </row>
    <row r="16" ht="50" customHeight="1" spans="1:13">
      <c r="A16" s="25"/>
      <c r="B16" s="21" t="s">
        <v>40</v>
      </c>
      <c r="C16" s="8">
        <v>12</v>
      </c>
      <c r="D16" s="24" t="s">
        <v>133</v>
      </c>
      <c r="E16" s="10"/>
      <c r="F16" s="8">
        <v>12</v>
      </c>
      <c r="G16" s="27" t="s">
        <v>133</v>
      </c>
      <c r="H16" s="20">
        <v>26</v>
      </c>
      <c r="I16" s="17">
        <v>10</v>
      </c>
      <c r="J16" s="17">
        <v>12</v>
      </c>
      <c r="K16" s="14" t="s">
        <v>16</v>
      </c>
      <c r="L16" s="16">
        <v>29.8</v>
      </c>
      <c r="M16" s="17">
        <v>30</v>
      </c>
    </row>
    <row r="17" ht="50" customHeight="1" spans="1:13">
      <c r="A17" s="25"/>
      <c r="B17" s="8" t="s">
        <v>137</v>
      </c>
      <c r="C17" s="8">
        <v>13</v>
      </c>
      <c r="D17" s="26" t="s">
        <v>136</v>
      </c>
      <c r="F17" s="8">
        <v>13</v>
      </c>
      <c r="G17" s="15" t="s">
        <v>136</v>
      </c>
      <c r="H17" s="16">
        <v>23.8</v>
      </c>
      <c r="I17" s="17">
        <v>6</v>
      </c>
      <c r="J17" s="17">
        <v>13</v>
      </c>
      <c r="K17" s="26" t="s">
        <v>135</v>
      </c>
      <c r="L17" s="16">
        <v>29.8</v>
      </c>
      <c r="M17" s="17">
        <v>30</v>
      </c>
    </row>
    <row r="18" ht="50" customHeight="1" spans="1:13">
      <c r="A18" s="28"/>
      <c r="B18" s="8" t="s">
        <v>138</v>
      </c>
      <c r="C18" s="8">
        <v>14</v>
      </c>
      <c r="D18" s="26" t="s">
        <v>139</v>
      </c>
      <c r="F18" s="8">
        <v>14</v>
      </c>
      <c r="G18" s="15" t="s">
        <v>139</v>
      </c>
      <c r="H18" s="16">
        <v>33.9</v>
      </c>
      <c r="I18" s="17">
        <v>10</v>
      </c>
      <c r="J18" s="17">
        <v>14</v>
      </c>
      <c r="K18" s="29" t="s">
        <v>140</v>
      </c>
      <c r="L18" s="20">
        <v>26</v>
      </c>
      <c r="M18" s="17">
        <v>10</v>
      </c>
    </row>
    <row r="19" ht="50" customHeight="1" spans="1:13">
      <c r="A19" s="30" t="s">
        <v>141</v>
      </c>
      <c r="B19" s="31" t="s">
        <v>43</v>
      </c>
      <c r="C19" s="8">
        <v>15</v>
      </c>
      <c r="D19" s="29" t="s">
        <v>140</v>
      </c>
      <c r="F19" s="8">
        <v>15</v>
      </c>
      <c r="G19" s="15" t="s">
        <v>140</v>
      </c>
      <c r="H19" s="20">
        <v>26</v>
      </c>
      <c r="I19" s="17">
        <v>10</v>
      </c>
      <c r="J19" s="17">
        <v>15</v>
      </c>
      <c r="K19" s="19" t="s">
        <v>142</v>
      </c>
      <c r="L19" s="16">
        <v>24.9</v>
      </c>
      <c r="M19" s="17">
        <v>10</v>
      </c>
    </row>
    <row r="20" ht="50" customHeight="1" spans="1:13">
      <c r="A20" s="30"/>
      <c r="B20" s="31" t="s">
        <v>43</v>
      </c>
      <c r="C20" s="8">
        <v>16</v>
      </c>
      <c r="D20" s="19" t="s">
        <v>142</v>
      </c>
      <c r="F20" s="8">
        <v>16</v>
      </c>
      <c r="G20" s="27" t="s">
        <v>142</v>
      </c>
      <c r="H20" s="32">
        <v>24.9</v>
      </c>
      <c r="I20" s="27">
        <v>10</v>
      </c>
      <c r="J20" s="27">
        <v>16</v>
      </c>
      <c r="K20" s="29" t="s">
        <v>143</v>
      </c>
      <c r="L20" s="20">
        <v>26</v>
      </c>
      <c r="M20" s="17">
        <v>10</v>
      </c>
    </row>
    <row r="21" ht="50" customHeight="1" spans="1:13">
      <c r="A21" s="30"/>
      <c r="B21" s="21" t="s">
        <v>40</v>
      </c>
      <c r="C21" s="8">
        <v>17</v>
      </c>
      <c r="D21" s="29" t="s">
        <v>143</v>
      </c>
      <c r="F21" s="8">
        <v>17</v>
      </c>
      <c r="G21" s="15" t="s">
        <v>143</v>
      </c>
      <c r="H21" s="20">
        <v>26</v>
      </c>
      <c r="I21" s="17">
        <v>10</v>
      </c>
      <c r="J21" s="17">
        <v>17</v>
      </c>
      <c r="K21" s="29" t="s">
        <v>144</v>
      </c>
      <c r="L21" s="20">
        <v>26</v>
      </c>
      <c r="M21" s="17">
        <v>10</v>
      </c>
    </row>
    <row r="22" ht="50" customHeight="1" spans="1:13">
      <c r="A22" s="30"/>
      <c r="B22" s="21" t="s">
        <v>40</v>
      </c>
      <c r="C22" s="8">
        <v>18</v>
      </c>
      <c r="D22" s="29" t="s">
        <v>144</v>
      </c>
      <c r="F22" s="8">
        <v>18</v>
      </c>
      <c r="G22" s="15" t="s">
        <v>144</v>
      </c>
      <c r="H22" s="20">
        <v>26</v>
      </c>
      <c r="I22" s="17">
        <v>10</v>
      </c>
      <c r="J22" s="17">
        <v>18</v>
      </c>
      <c r="K22" s="33" t="s">
        <v>145</v>
      </c>
      <c r="L22" s="16">
        <v>18</v>
      </c>
      <c r="M22" s="17" t="s">
        <v>146</v>
      </c>
    </row>
    <row r="23" ht="50" customHeight="1" spans="1:13">
      <c r="A23" s="30"/>
      <c r="B23" s="21" t="s">
        <v>40</v>
      </c>
      <c r="C23" s="8">
        <v>19</v>
      </c>
      <c r="D23" s="33" t="s">
        <v>145</v>
      </c>
      <c r="F23" s="8">
        <v>19</v>
      </c>
      <c r="G23" s="15" t="s">
        <v>145</v>
      </c>
      <c r="H23" s="16">
        <v>18</v>
      </c>
      <c r="I23" s="17" t="s">
        <v>146</v>
      </c>
      <c r="J23" s="17">
        <v>19</v>
      </c>
      <c r="K23" s="29" t="s">
        <v>147</v>
      </c>
      <c r="L23" s="16">
        <v>16.8</v>
      </c>
      <c r="M23" s="19">
        <v>12</v>
      </c>
    </row>
    <row r="24" ht="50" customHeight="1" spans="1:13">
      <c r="A24" s="30"/>
      <c r="B24" s="21" t="s">
        <v>40</v>
      </c>
      <c r="C24" s="8">
        <v>20</v>
      </c>
      <c r="D24" s="29" t="s">
        <v>147</v>
      </c>
      <c r="F24" s="8">
        <v>20</v>
      </c>
      <c r="G24" s="15" t="s">
        <v>147</v>
      </c>
      <c r="H24" s="16">
        <v>16.8</v>
      </c>
      <c r="I24" s="19">
        <v>12</v>
      </c>
      <c r="J24" s="17">
        <v>20</v>
      </c>
      <c r="K24" s="29" t="s">
        <v>148</v>
      </c>
      <c r="L24" s="20">
        <v>14.9</v>
      </c>
      <c r="M24" s="17" t="s">
        <v>146</v>
      </c>
    </row>
    <row r="25" ht="50" customHeight="1" spans="1:13">
      <c r="A25" s="30"/>
      <c r="B25" s="21" t="s">
        <v>48</v>
      </c>
      <c r="C25" s="8">
        <v>21</v>
      </c>
      <c r="D25" s="29" t="s">
        <v>148</v>
      </c>
      <c r="F25" s="8">
        <v>21</v>
      </c>
      <c r="G25" s="15" t="s">
        <v>148</v>
      </c>
      <c r="H25" s="20">
        <v>14.9</v>
      </c>
      <c r="I25" s="17" t="s">
        <v>146</v>
      </c>
      <c r="J25" s="17">
        <v>21</v>
      </c>
      <c r="K25" s="29" t="s">
        <v>149</v>
      </c>
      <c r="L25" s="20">
        <v>25</v>
      </c>
      <c r="M25" s="17" t="s">
        <v>146</v>
      </c>
    </row>
    <row r="26" ht="50" customHeight="1" spans="1:13">
      <c r="A26" s="30"/>
      <c r="B26" s="21" t="s">
        <v>48</v>
      </c>
      <c r="C26" s="8">
        <v>22</v>
      </c>
      <c r="D26" s="29" t="s">
        <v>149</v>
      </c>
      <c r="F26" s="8">
        <v>22</v>
      </c>
      <c r="G26" s="15" t="s">
        <v>149</v>
      </c>
      <c r="H26" s="20">
        <v>25</v>
      </c>
      <c r="I26" s="17" t="s">
        <v>146</v>
      </c>
      <c r="J26" s="17">
        <v>22</v>
      </c>
      <c r="K26" s="33" t="s">
        <v>150</v>
      </c>
      <c r="L26" s="16">
        <v>29.8</v>
      </c>
      <c r="M26" s="17">
        <v>10</v>
      </c>
    </row>
    <row r="27" ht="50" customHeight="1" spans="1:13">
      <c r="A27" s="30"/>
      <c r="B27" s="21" t="s">
        <v>48</v>
      </c>
      <c r="C27" s="8">
        <v>23</v>
      </c>
      <c r="D27" s="33" t="s">
        <v>150</v>
      </c>
      <c r="F27" s="8">
        <v>23</v>
      </c>
      <c r="G27" s="15" t="s">
        <v>150</v>
      </c>
      <c r="H27" s="16">
        <v>29.8</v>
      </c>
      <c r="I27" s="17">
        <v>10</v>
      </c>
      <c r="J27" s="17">
        <v>23</v>
      </c>
      <c r="K27" s="19" t="s">
        <v>151</v>
      </c>
      <c r="L27" s="16">
        <v>23.8</v>
      </c>
      <c r="M27" s="17">
        <v>6</v>
      </c>
    </row>
    <row r="28" ht="50" customHeight="1" spans="1:13">
      <c r="A28" s="8" t="s">
        <v>152</v>
      </c>
      <c r="B28" s="8" t="s">
        <v>59</v>
      </c>
      <c r="C28" s="8">
        <v>24</v>
      </c>
      <c r="D28" s="29" t="s">
        <v>153</v>
      </c>
      <c r="F28" s="8">
        <v>24</v>
      </c>
      <c r="G28" s="15" t="s">
        <v>153</v>
      </c>
      <c r="H28" s="20">
        <v>22</v>
      </c>
      <c r="I28" s="17">
        <v>10</v>
      </c>
      <c r="J28" s="17">
        <v>24</v>
      </c>
      <c r="K28" s="14" t="s">
        <v>125</v>
      </c>
      <c r="L28" s="16">
        <v>19.8</v>
      </c>
      <c r="M28" s="17">
        <v>12</v>
      </c>
    </row>
    <row r="29" ht="50" customHeight="1" spans="1:13">
      <c r="A29" s="8"/>
      <c r="B29" s="8"/>
      <c r="C29" s="8">
        <v>25</v>
      </c>
      <c r="D29" s="29" t="s">
        <v>154</v>
      </c>
      <c r="F29" s="8">
        <v>25</v>
      </c>
      <c r="G29" s="15" t="s">
        <v>154</v>
      </c>
      <c r="H29" s="20">
        <v>16</v>
      </c>
      <c r="I29" s="17">
        <v>8</v>
      </c>
      <c r="J29" s="17">
        <v>25</v>
      </c>
      <c r="K29" s="29" t="s">
        <v>134</v>
      </c>
      <c r="L29" s="16">
        <v>29.8</v>
      </c>
      <c r="M29" s="17">
        <v>30</v>
      </c>
    </row>
    <row r="30" ht="50" customHeight="1" spans="1:13">
      <c r="A30" s="8"/>
      <c r="B30" s="8"/>
      <c r="C30" s="8">
        <v>26</v>
      </c>
      <c r="D30" s="29" t="s">
        <v>155</v>
      </c>
      <c r="F30" s="8">
        <v>26</v>
      </c>
      <c r="G30" s="15" t="s">
        <v>155</v>
      </c>
      <c r="H30" s="17">
        <v>18</v>
      </c>
      <c r="I30" s="17">
        <v>10</v>
      </c>
      <c r="J30" s="17">
        <v>26</v>
      </c>
      <c r="K30" s="29" t="s">
        <v>139</v>
      </c>
      <c r="L30" s="16">
        <v>33.9</v>
      </c>
      <c r="M30" s="17">
        <v>10</v>
      </c>
    </row>
    <row r="31" ht="50" customHeight="1" spans="1:13">
      <c r="A31" s="8" t="s">
        <v>58</v>
      </c>
      <c r="B31" s="21" t="s">
        <v>59</v>
      </c>
      <c r="C31" s="8">
        <v>27</v>
      </c>
      <c r="D31" s="29" t="s">
        <v>156</v>
      </c>
      <c r="F31" s="8">
        <v>27</v>
      </c>
      <c r="G31" s="15" t="s">
        <v>156</v>
      </c>
      <c r="H31" s="20">
        <v>12</v>
      </c>
      <c r="I31" s="17">
        <v>10</v>
      </c>
      <c r="J31" s="17">
        <v>27</v>
      </c>
      <c r="K31" s="29" t="s">
        <v>157</v>
      </c>
      <c r="L31" s="20">
        <v>22</v>
      </c>
      <c r="M31" s="17">
        <v>8</v>
      </c>
    </row>
    <row r="32" ht="50" customHeight="1" spans="1:13">
      <c r="A32" s="8"/>
      <c r="B32" s="21" t="s">
        <v>13</v>
      </c>
      <c r="C32" s="8">
        <v>28</v>
      </c>
      <c r="D32" s="29" t="s">
        <v>157</v>
      </c>
      <c r="F32" s="8">
        <v>28</v>
      </c>
      <c r="G32" s="15" t="s">
        <v>157</v>
      </c>
      <c r="H32" s="20">
        <v>22</v>
      </c>
      <c r="I32" s="17">
        <v>8</v>
      </c>
      <c r="J32" s="17">
        <v>28</v>
      </c>
      <c r="K32" s="29" t="s">
        <v>153</v>
      </c>
      <c r="L32" s="20">
        <v>22</v>
      </c>
      <c r="M32" s="17">
        <v>10</v>
      </c>
    </row>
    <row r="33" ht="50" customHeight="1" spans="1:13">
      <c r="A33" s="8"/>
      <c r="B33" s="21" t="s">
        <v>62</v>
      </c>
      <c r="C33" s="8">
        <v>29</v>
      </c>
      <c r="D33" s="29" t="s">
        <v>158</v>
      </c>
      <c r="F33" s="8">
        <v>29</v>
      </c>
      <c r="G33" s="29" t="s">
        <v>158</v>
      </c>
      <c r="H33" s="20">
        <v>5</v>
      </c>
      <c r="I33" s="17">
        <v>100</v>
      </c>
      <c r="J33" s="17">
        <v>29</v>
      </c>
      <c r="K33" s="29" t="s">
        <v>154</v>
      </c>
      <c r="L33" s="20">
        <v>16</v>
      </c>
      <c r="M33" s="17">
        <v>8</v>
      </c>
    </row>
    <row r="34" ht="50" customHeight="1" spans="1:13">
      <c r="A34" s="8"/>
      <c r="B34" s="8"/>
      <c r="C34" s="8">
        <v>30</v>
      </c>
      <c r="D34" s="29" t="s">
        <v>159</v>
      </c>
      <c r="F34" s="8">
        <v>30</v>
      </c>
      <c r="G34" s="15" t="s">
        <v>159</v>
      </c>
      <c r="H34" s="20">
        <v>13</v>
      </c>
      <c r="I34" s="17">
        <v>6</v>
      </c>
      <c r="J34" s="17">
        <v>30</v>
      </c>
      <c r="K34" s="29" t="s">
        <v>155</v>
      </c>
      <c r="L34" s="17">
        <v>18</v>
      </c>
      <c r="M34" s="17">
        <v>10</v>
      </c>
    </row>
    <row r="35" ht="50" customHeight="1" spans="1:13">
      <c r="A35" s="8"/>
      <c r="B35" s="8"/>
      <c r="C35" s="8">
        <v>31</v>
      </c>
      <c r="D35" s="29" t="s">
        <v>160</v>
      </c>
      <c r="F35" s="8">
        <v>31</v>
      </c>
      <c r="G35" s="15" t="s">
        <v>160</v>
      </c>
      <c r="H35" s="20">
        <v>15</v>
      </c>
      <c r="I35" s="17">
        <v>6</v>
      </c>
      <c r="J35" s="17">
        <v>31</v>
      </c>
      <c r="K35" s="29" t="s">
        <v>156</v>
      </c>
      <c r="L35" s="20">
        <v>12</v>
      </c>
      <c r="M35" s="17">
        <v>10</v>
      </c>
    </row>
    <row r="36" ht="50" customHeight="1" spans="1:13">
      <c r="A36" s="8"/>
      <c r="B36" s="8"/>
      <c r="C36" s="8">
        <v>32</v>
      </c>
      <c r="D36" s="34" t="s">
        <v>161</v>
      </c>
      <c r="F36" s="8">
        <v>32</v>
      </c>
      <c r="G36" s="34" t="s">
        <v>161</v>
      </c>
      <c r="H36" s="20">
        <v>6</v>
      </c>
      <c r="I36" s="17">
        <v>6</v>
      </c>
      <c r="J36" s="17">
        <v>32</v>
      </c>
      <c r="K36" s="19" t="s">
        <v>162</v>
      </c>
      <c r="L36" s="16">
        <v>19.8</v>
      </c>
      <c r="M36" s="17">
        <v>8</v>
      </c>
    </row>
    <row r="37" ht="50" customHeight="1" spans="1:13">
      <c r="A37" s="8"/>
      <c r="B37" s="8"/>
      <c r="C37" s="8">
        <v>33</v>
      </c>
      <c r="D37" s="29" t="s">
        <v>163</v>
      </c>
      <c r="F37" s="8">
        <v>33</v>
      </c>
      <c r="G37" s="29" t="s">
        <v>163</v>
      </c>
      <c r="H37" s="20">
        <v>9.8</v>
      </c>
      <c r="I37" s="17" t="s">
        <v>146</v>
      </c>
      <c r="J37" s="17">
        <v>33</v>
      </c>
      <c r="K37" s="29" t="s">
        <v>164</v>
      </c>
      <c r="L37" s="20">
        <v>29.8</v>
      </c>
      <c r="M37" s="17">
        <v>10</v>
      </c>
    </row>
    <row r="38" ht="50" customHeight="1" spans="1:13">
      <c r="A38" s="35" t="s">
        <v>165</v>
      </c>
      <c r="B38" s="8" t="s">
        <v>10</v>
      </c>
      <c r="C38" s="8">
        <v>34</v>
      </c>
      <c r="D38" s="29" t="s">
        <v>164</v>
      </c>
      <c r="F38" s="8">
        <v>34</v>
      </c>
      <c r="G38" s="15" t="s">
        <v>164</v>
      </c>
      <c r="H38" s="20">
        <v>29.8</v>
      </c>
      <c r="I38" s="17">
        <v>10</v>
      </c>
      <c r="J38" s="17">
        <v>34</v>
      </c>
      <c r="K38" s="29" t="s">
        <v>166</v>
      </c>
      <c r="L38" s="20">
        <v>36</v>
      </c>
      <c r="M38" s="17">
        <v>12</v>
      </c>
    </row>
    <row r="39" ht="50" customHeight="1" spans="1:13">
      <c r="A39" s="35"/>
      <c r="B39" s="8"/>
      <c r="C39" s="8">
        <v>35</v>
      </c>
      <c r="D39" s="29" t="s">
        <v>166</v>
      </c>
      <c r="F39" s="8">
        <v>35</v>
      </c>
      <c r="G39" s="15" t="s">
        <v>166</v>
      </c>
      <c r="H39" s="20">
        <v>36</v>
      </c>
      <c r="I39" s="17">
        <v>12</v>
      </c>
      <c r="J39" s="17">
        <v>35</v>
      </c>
      <c r="K39" s="29" t="s">
        <v>167</v>
      </c>
      <c r="L39" s="20">
        <v>39</v>
      </c>
      <c r="M39" s="17">
        <v>12</v>
      </c>
    </row>
    <row r="40" ht="50" customHeight="1" spans="1:13">
      <c r="A40" s="36" t="s">
        <v>70</v>
      </c>
      <c r="B40" s="21" t="s">
        <v>43</v>
      </c>
      <c r="C40" s="8">
        <v>36</v>
      </c>
      <c r="D40" s="19" t="s">
        <v>151</v>
      </c>
      <c r="F40" s="8">
        <v>36</v>
      </c>
      <c r="G40" s="27" t="s">
        <v>151</v>
      </c>
      <c r="H40" s="16">
        <v>23.8</v>
      </c>
      <c r="I40" s="17">
        <v>6</v>
      </c>
      <c r="J40" s="17">
        <v>36</v>
      </c>
      <c r="K40" s="29" t="s">
        <v>159</v>
      </c>
      <c r="L40" s="20">
        <v>13</v>
      </c>
      <c r="M40" s="17">
        <v>6</v>
      </c>
    </row>
    <row r="41" ht="50" customHeight="1" spans="1:13">
      <c r="A41" s="36"/>
      <c r="B41" s="21" t="s">
        <v>13</v>
      </c>
      <c r="C41" s="8">
        <v>37</v>
      </c>
      <c r="D41" s="19" t="s">
        <v>162</v>
      </c>
      <c r="F41" s="8">
        <v>37</v>
      </c>
      <c r="G41" s="27" t="s">
        <v>162</v>
      </c>
      <c r="H41" s="16">
        <v>19.8</v>
      </c>
      <c r="I41" s="17">
        <v>8</v>
      </c>
      <c r="J41" s="17">
        <v>37</v>
      </c>
      <c r="K41" s="29" t="s">
        <v>160</v>
      </c>
      <c r="L41" s="20">
        <v>15</v>
      </c>
      <c r="M41" s="17">
        <v>6</v>
      </c>
    </row>
    <row r="42" ht="50" customHeight="1" spans="1:13">
      <c r="A42" s="21" t="s">
        <v>70</v>
      </c>
      <c r="B42" s="8"/>
      <c r="C42" s="8">
        <v>4</v>
      </c>
      <c r="D42" s="19" t="s">
        <v>126</v>
      </c>
      <c r="F42" s="8">
        <v>38</v>
      </c>
      <c r="G42" s="27" t="s">
        <v>126</v>
      </c>
      <c r="H42" s="20">
        <v>12.8</v>
      </c>
      <c r="I42" s="17">
        <v>10</v>
      </c>
      <c r="J42" s="17">
        <v>38</v>
      </c>
      <c r="K42" s="29" t="s">
        <v>158</v>
      </c>
      <c r="L42" s="20">
        <v>5</v>
      </c>
      <c r="M42" s="17">
        <v>100</v>
      </c>
    </row>
    <row r="43" ht="50" customHeight="1" spans="1:13">
      <c r="A43" s="21"/>
      <c r="B43" s="8"/>
      <c r="C43" s="8">
        <v>5</v>
      </c>
      <c r="D43" s="19" t="s">
        <v>128</v>
      </c>
      <c r="F43" s="8">
        <v>39</v>
      </c>
      <c r="G43" s="27" t="s">
        <v>128</v>
      </c>
      <c r="H43" s="20">
        <v>14.9</v>
      </c>
      <c r="I43" s="17">
        <v>10</v>
      </c>
      <c r="J43" s="17">
        <v>39</v>
      </c>
      <c r="K43" s="29" t="s">
        <v>163</v>
      </c>
      <c r="L43" s="20">
        <v>9.8</v>
      </c>
      <c r="M43" s="17" t="s">
        <v>146</v>
      </c>
    </row>
    <row r="44" ht="50" customHeight="1" spans="1:13">
      <c r="A44" s="21"/>
      <c r="B44" s="8"/>
      <c r="C44" s="8">
        <v>6</v>
      </c>
      <c r="D44" s="19" t="s">
        <v>129</v>
      </c>
      <c r="F44" s="8">
        <v>40</v>
      </c>
      <c r="G44" s="27" t="s">
        <v>129</v>
      </c>
      <c r="H44" s="20">
        <v>13.8</v>
      </c>
      <c r="I44" s="17">
        <v>12</v>
      </c>
      <c r="J44" s="17">
        <v>40</v>
      </c>
      <c r="K44" s="29" t="s">
        <v>161</v>
      </c>
      <c r="L44" s="20">
        <v>6</v>
      </c>
      <c r="M44" s="17">
        <v>6</v>
      </c>
    </row>
    <row r="45" ht="50" customHeight="1" spans="1:13">
      <c r="A45" s="21"/>
      <c r="B45" s="8"/>
      <c r="C45" s="8"/>
      <c r="D45" s="19"/>
    </row>
    <row r="46" ht="50" customHeight="1" spans="1:13">
      <c r="A46" s="37"/>
      <c r="B46" s="38"/>
      <c r="C46" s="39"/>
      <c r="D46" s="12"/>
    </row>
    <row r="47" ht="50" customHeight="1" spans="1:13">
      <c r="A47" s="8" t="s">
        <v>112</v>
      </c>
      <c r="B47" s="8"/>
      <c r="C47" s="8"/>
      <c r="D47" s="8"/>
    </row>
    <row r="48" ht="50" customHeight="1" spans="1:13">
      <c r="A48" s="40" t="s">
        <v>113</v>
      </c>
      <c r="B48" s="41"/>
      <c r="C48" s="8"/>
      <c r="D48" s="8"/>
    </row>
    <row r="49" ht="50" customHeight="1" spans="1:4">
      <c r="A49" s="40" t="s">
        <v>114</v>
      </c>
      <c r="B49" s="41"/>
      <c r="C49" s="8"/>
      <c r="D49" s="8"/>
    </row>
    <row r="50" ht="50" customHeight="1" spans="1:4">
      <c r="A50" s="35" t="s">
        <v>115</v>
      </c>
      <c r="B50" s="35"/>
      <c r="C50" s="35"/>
      <c r="D50" s="35"/>
    </row>
    <row r="51" ht="50" customHeight="1" spans="1:4">
      <c r="A51" s="42" t="s">
        <v>116</v>
      </c>
      <c r="B51" s="35"/>
      <c r="C51" s="42"/>
      <c r="D51" s="42"/>
    </row>
  </sheetData>
  <sheetProtection formatCells="0" formatColumns="0" formatRows="0" insertRows="0" insertColumns="0" insertHyperlinks="0" deleteColumns="0" deleteRows="0" sort="0" autoFilter="0" pivotTables="0"/>
  <mergeCells count="15">
    <mergeCell ref="A3:C3"/>
    <mergeCell ref="A48:B48"/>
    <mergeCell ref="A49:B49"/>
    <mergeCell ref="A51:D51"/>
    <mergeCell ref="A11:A18"/>
    <mergeCell ref="A19:A25"/>
    <mergeCell ref="A28:A30"/>
    <mergeCell ref="A31:A33"/>
    <mergeCell ref="A34:A37"/>
    <mergeCell ref="A38:A39"/>
    <mergeCell ref="A42:A44"/>
    <mergeCell ref="B28:B30"/>
    <mergeCell ref="B34:B37"/>
    <mergeCell ref="B38:B39"/>
    <mergeCell ref="A1:D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3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WWO_wpscloud_20260320220154-fb57003c44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周一至周四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2026-04-04T19:27:49Z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C5F8FAB88DE08193B5F5D06936FDF09B_41</vt:lpwstr>
  </property>
  <property fmtid="{D5CDD505-2E9C-101B-9397-08002B2CF9AE}" pid="3" name="KSOProductBuildVer">
    <vt:lpwstr>2052-12.9.0.25862</vt:lpwstr>
  </property>
  <property fmtid="{D5CDD505-2E9C-101B-9397-08002B2CF9AE}" pid="4" name="CalculationRule">
    <vt:i4>1</vt:i4>
  </property>
</Properties>
</file>