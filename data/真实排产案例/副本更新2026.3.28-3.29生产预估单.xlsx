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100"/>
  </bookViews>
  <sheets>
    <sheet name="周一至周四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<sst xmlns="http://schemas.openxmlformats.org/spreadsheetml/2006/main" count="479" uniqueCount="265">
  <si>
    <t>预估单</t>
  </si>
  <si>
    <t>日期</t>
  </si>
  <si>
    <t>客单</t>
  </si>
  <si>
    <t>客次</t>
  </si>
  <si>
    <t>常州</t>
  </si>
  <si>
    <t>2026/3/28-29</t>
  </si>
  <si>
    <t>星期六、日</t>
  </si>
  <si>
    <t>天气：</t>
  </si>
  <si>
    <t>晴</t>
  </si>
  <si>
    <t>制表人</t>
  </si>
  <si>
    <t>业绩预估</t>
  </si>
  <si>
    <t>客单数</t>
  </si>
  <si>
    <t>客单价</t>
  </si>
  <si>
    <t>所需货品</t>
  </si>
  <si>
    <t>试吃+排产</t>
  </si>
  <si>
    <t>试吃</t>
  </si>
  <si>
    <t>水吧</t>
  </si>
  <si>
    <t>排产减货：</t>
  </si>
  <si>
    <t>满柜数量</t>
  </si>
  <si>
    <t>12点前生产储存数量</t>
  </si>
  <si>
    <t>12点前后厨堆放货物金额</t>
  </si>
  <si>
    <t>小红书打卡</t>
  </si>
  <si>
    <t>时间</t>
  </si>
  <si>
    <t>销售额</t>
  </si>
  <si>
    <t>试吃金额</t>
  </si>
  <si>
    <t>品类</t>
  </si>
  <si>
    <t>陈列位置</t>
  </si>
  <si>
    <t>序号</t>
  </si>
  <si>
    <t>品名</t>
  </si>
  <si>
    <t>单价</t>
  </si>
  <si>
    <t>倍数</t>
  </si>
  <si>
    <t>总数量</t>
  </si>
  <si>
    <t>实际出货</t>
  </si>
  <si>
    <t>断货时间</t>
  </si>
  <si>
    <t>TC占比</t>
  </si>
  <si>
    <t>冷/热</t>
  </si>
  <si>
    <t>上周销售</t>
  </si>
  <si>
    <t>总金额</t>
  </si>
  <si>
    <t>10点出货</t>
  </si>
  <si>
    <t>11点出货</t>
  </si>
  <si>
    <t>12点出货</t>
  </si>
  <si>
    <t>13点出货</t>
  </si>
  <si>
    <t>14点出货</t>
  </si>
  <si>
    <t>15点出货</t>
  </si>
  <si>
    <t>16点出货</t>
  </si>
  <si>
    <t>17点出货</t>
  </si>
  <si>
    <t>18点出货</t>
  </si>
  <si>
    <t>19点出货</t>
  </si>
  <si>
    <t>10点金额</t>
  </si>
  <si>
    <t>11点金额</t>
  </si>
  <si>
    <t>12点金额</t>
  </si>
  <si>
    <t>13点金额</t>
  </si>
  <si>
    <t>14点金额</t>
  </si>
  <si>
    <t>15点金额</t>
  </si>
  <si>
    <t>16点金额</t>
  </si>
  <si>
    <t>17点金额</t>
  </si>
  <si>
    <t>18点金额</t>
  </si>
  <si>
    <t>19点金额</t>
  </si>
  <si>
    <t>试吃量</t>
  </si>
  <si>
    <t>加货
明细</t>
  </si>
  <si>
    <t>加货备注
（需要与后厨确认）</t>
  </si>
  <si>
    <t>加货待确认</t>
  </si>
  <si>
    <t>备注</t>
  </si>
  <si>
    <t>加货时间</t>
  </si>
  <si>
    <t>减货时间</t>
  </si>
  <si>
    <t>12:00-13：00</t>
  </si>
  <si>
    <t>Top榜</t>
  </si>
  <si>
    <t>蛋挞柜</t>
  </si>
  <si>
    <t>TOP</t>
  </si>
  <si>
    <t>TOP榜</t>
  </si>
  <si>
    <t>趁热心动蛋挞</t>
  </si>
  <si>
    <t>Hot Crush Egg Tart</t>
  </si>
  <si>
    <t>热</t>
  </si>
  <si>
    <t>加货极限300</t>
  </si>
  <si>
    <r>
      <rPr>
        <b/>
        <sz val="14"/>
        <color rgb="FFFF0000"/>
        <rFont val="微软雅黑"/>
        <charset val="134"/>
      </rPr>
      <t>每小时必出，优先加货，慎重加货；</t>
    </r>
    <r>
      <rPr>
        <sz val="14"/>
        <rFont val="微软雅黑"/>
        <charset val="134"/>
      </rPr>
      <t>20点前都可加货</t>
    </r>
  </si>
  <si>
    <t>提前40分钟-1个小时</t>
  </si>
  <si>
    <t>提前2个小时</t>
  </si>
  <si>
    <t>13:00-14：00</t>
  </si>
  <si>
    <t>开心果蛋挞</t>
  </si>
  <si>
    <t>Hot Crush Pistachio Egg Tart</t>
  </si>
  <si>
    <t>冷</t>
  </si>
  <si>
    <t>14:00-15：00</t>
  </si>
  <si>
    <t>巧克力蛋挞</t>
  </si>
  <si>
    <t>Hot Crush Chocolate Egg Tart</t>
  </si>
  <si>
    <t>15:00-16：00</t>
  </si>
  <si>
    <t>吐司柜</t>
  </si>
  <si>
    <t>奶酪核桃马卡龙</t>
  </si>
  <si>
    <t>Hot Crush Cheese Walnut Macaron</t>
  </si>
  <si>
    <t>提前4小时加减货，14:00可减18:00</t>
  </si>
  <si>
    <t>提前4个小时</t>
  </si>
  <si>
    <t>16:00-17：00</t>
  </si>
  <si>
    <t>可颂柜</t>
  </si>
  <si>
    <t>蜂蜜蔓越莓果坚果棒</t>
  </si>
  <si>
    <t>Honey Cranberry Nut Bar</t>
  </si>
  <si>
    <t>加货极限60</t>
  </si>
  <si>
    <t>17:00-18：00</t>
  </si>
  <si>
    <t>蜂蜜开心果坚果棒</t>
  </si>
  <si>
    <t>Honey Pistachio Nut Bar</t>
  </si>
  <si>
    <t>18:00-19：00</t>
  </si>
  <si>
    <t>能量棒柜</t>
  </si>
  <si>
    <t>黑松露牛排惠灵顿</t>
  </si>
  <si>
    <t>Black Truffle Wellington Steak Croissant</t>
  </si>
  <si>
    <t>提前4小时加货，14:00可减18:00（需给到固定数量）</t>
  </si>
  <si>
    <t>19:00-20：00</t>
  </si>
  <si>
    <t>吐司类</t>
  </si>
  <si>
    <t>牛乳吐司</t>
  </si>
  <si>
    <t>Milky Toast</t>
  </si>
  <si>
    <t>加货极限48</t>
  </si>
  <si>
    <t>提前4小时确认加货明细，不能同时间加各品类极限</t>
  </si>
  <si>
    <t>20:00-21：00</t>
  </si>
  <si>
    <t>潜在TOP榜</t>
  </si>
  <si>
    <t>潜在TOP</t>
  </si>
  <si>
    <t>榴莲吐司</t>
  </si>
  <si>
    <t>Musang King Durian Cheese Bun</t>
  </si>
  <si>
    <t>21:00-22：00</t>
  </si>
  <si>
    <t>草莓巧克力爆浆吐司</t>
  </si>
  <si>
    <t>Triple Chocolate Fluffy Loaf</t>
  </si>
  <si>
    <t>总计</t>
  </si>
  <si>
    <t>星空流沙吐司</t>
  </si>
  <si>
    <t>Handmade Taro Fluffy Loaf</t>
  </si>
  <si>
    <t>贝果类</t>
  </si>
  <si>
    <t>蒜香贝果</t>
  </si>
  <si>
    <t>French Garlic Cheese Bagel</t>
  </si>
  <si>
    <t>当天不建议加货，每天2批
（提前4小时加减）</t>
  </si>
  <si>
    <t>蓝莓贝果</t>
  </si>
  <si>
    <t>Blueberry Lava Bagel</t>
  </si>
  <si>
    <t>2号
冷柜</t>
  </si>
  <si>
    <t>抹茶贝果</t>
  </si>
  <si>
    <t>Japanese Matcha  Bagel</t>
  </si>
  <si>
    <t>加货极限100</t>
  </si>
  <si>
    <t>1号
冷柜</t>
  </si>
  <si>
    <t>墨西哥辣椒贝果</t>
  </si>
  <si>
    <t>Hot Crush Jalapeño Chicken Bagel</t>
  </si>
  <si>
    <t>巧克力贝果</t>
  </si>
  <si>
    <t>Rich Chocolate Bagel</t>
  </si>
  <si>
    <t>3号
冷柜</t>
  </si>
  <si>
    <t>焦糖贝果</t>
  </si>
  <si>
    <t>Toffee Caramel New Zealand cream Lava Bagel</t>
  </si>
  <si>
    <t>黄油红豆贝果</t>
  </si>
  <si>
    <t>Iced Red Bean Butter Bagel</t>
  </si>
  <si>
    <t>可颂类</t>
  </si>
  <si>
    <t>蓝莓奶油可颂</t>
  </si>
  <si>
    <t xml:space="preserve">Hot Crush Blueberry Iced Croissant </t>
  </si>
  <si>
    <t>加货极限80</t>
  </si>
  <si>
    <t>当天不加货
（14:00最后减货时间，最大减货数量24）</t>
  </si>
  <si>
    <t>提前5个小时</t>
  </si>
  <si>
    <t>树莓奶油可颂</t>
  </si>
  <si>
    <t>Hot Crush Pistachio and Raspberry Iced Croissant</t>
  </si>
  <si>
    <t>丹麦</t>
  </si>
  <si>
    <t>冷加工出货柜</t>
  </si>
  <si>
    <t>草莓奶油可颂</t>
  </si>
  <si>
    <t xml:space="preserve">Hot Crush Strawberry Iced Croissant </t>
  </si>
  <si>
    <t>试吃车</t>
  </si>
  <si>
    <t>杏仁可颂</t>
  </si>
  <si>
    <t>hot Crush French Toffee almond Croissant</t>
  </si>
  <si>
    <t>提前1个小时</t>
  </si>
  <si>
    <t>岩烧可颂</t>
  </si>
  <si>
    <t>Hot Crush butter Croissant</t>
  </si>
  <si>
    <t>碱水类</t>
  </si>
  <si>
    <t>心动黑巧克力薄脆碱水结</t>
  </si>
  <si>
    <t>Cocoa Crispy Pretzel</t>
  </si>
  <si>
    <t>周内3批，周末4批，一批24个</t>
  </si>
  <si>
    <t>新品</t>
  </si>
  <si>
    <t>泡芙类</t>
  </si>
  <si>
    <t>雪顶草莓奶油泡芙</t>
  </si>
  <si>
    <t>Hot Crush Strawberry New Zealand cream Puff</t>
  </si>
  <si>
    <t>个</t>
  </si>
  <si>
    <t>尽量不减货，预估数量保守为主，后期设备到位后可提前3小时加货</t>
  </si>
  <si>
    <t>蓝莓奶油泡芙</t>
  </si>
  <si>
    <t>Hot Crush Blueberry Lava Puff</t>
  </si>
  <si>
    <t>草莓奶油泡芙</t>
  </si>
  <si>
    <t>Hot Crush Strawberry Lava Puff</t>
  </si>
  <si>
    <t>巧克力泡芙</t>
  </si>
  <si>
    <t>Hot Crush Cocoa New Zealand cream Puff</t>
  </si>
  <si>
    <t>蛋挞类</t>
  </si>
  <si>
    <t>草莓奶油蛋挞</t>
  </si>
  <si>
    <t>Hot Crush Strawberry New Zealand cream Tart</t>
  </si>
  <si>
    <t>保守预估，以加货为主，提前3小时加货，如果需要减货最迟14:00同步后厨</t>
  </si>
  <si>
    <t>蓝莓奶油蛋挞</t>
  </si>
  <si>
    <t>Hot Crush Blueberry New Zealand cream Tart</t>
  </si>
  <si>
    <t>莓果蛋挞大</t>
  </si>
  <si>
    <t>Hot Crush double berries New Zealand cream Tart</t>
  </si>
  <si>
    <t>抹茶蛋挞大</t>
  </si>
  <si>
    <t>Kyoto Matcha raspberry Tart</t>
  </si>
  <si>
    <t>心动树莓奶油挞圆大挞</t>
  </si>
  <si>
    <t>Hot Crush Raspberry New Zealand cream Tart</t>
  </si>
  <si>
    <t>心动开心果黑巧蝴蝶酥</t>
  </si>
  <si>
    <t>Hot Crush Pistachio Dark Chocolate Palmier</t>
  </si>
  <si>
    <t>心动白巧草莓玫瑰蝴蝶酥</t>
  </si>
  <si>
    <t>Hot Crush White Chocolate Strawberry Rose Palmier</t>
  </si>
  <si>
    <t>轻糖伊朗开心果拿破仑</t>
  </si>
  <si>
    <t>Hot Light Sugar Iranian Pistachio 
Cream Chocolate Mille-Feuille</t>
  </si>
  <si>
    <t>轻糖草莓玫瑰拿破仑</t>
  </si>
  <si>
    <t>Hot Light Sugar Strawberry Rose
Cream Chocolate Mille-Feuille</t>
  </si>
  <si>
    <t>轻糖香水柠檬拿破仑</t>
  </si>
  <si>
    <t>Hot Light Sugar Perfumed Lemon Mille-Feuille</t>
  </si>
  <si>
    <t>巴斯克</t>
  </si>
  <si>
    <t>野果蓝莓软心巴斯克</t>
  </si>
  <si>
    <t>French Wild Blueberry Melty Basque</t>
  </si>
  <si>
    <t>浓醇树莓软心巴斯克</t>
  </si>
  <si>
    <t>French Rich Raspberry Melty Basque</t>
  </si>
  <si>
    <t>日式浓醇抹茶巴斯克</t>
  </si>
  <si>
    <t>Japanese Rich Matcha Melty Basque</t>
  </si>
  <si>
    <t>黑巧刨花浓醇巴斯克</t>
  </si>
  <si>
    <t>French Rich Dark Chocolate Shavings Basque</t>
  </si>
  <si>
    <t>草莓拿破仑</t>
  </si>
  <si>
    <t>Chololate Strawberry Napoleon</t>
  </si>
  <si>
    <t>合计</t>
  </si>
  <si>
    <t>出货金额</t>
  </si>
  <si>
    <t>预计销售</t>
  </si>
  <si>
    <t>门店陈列</t>
  </si>
  <si>
    <t>爆款占比</t>
  </si>
  <si>
    <t>爆款金额</t>
  </si>
  <si>
    <t>19:00前</t>
  </si>
  <si>
    <t>18点前</t>
  </si>
  <si>
    <t>冷加工金额</t>
  </si>
  <si>
    <t>冷加工占比</t>
  </si>
  <si>
    <t>18:00后</t>
  </si>
  <si>
    <t>复核</t>
  </si>
  <si>
    <r>
      <rPr>
        <b/>
        <sz val="14"/>
        <rFont val="微软雅黑"/>
        <charset val="134"/>
      </rPr>
      <t>备注：
1. 优先加货，打造Top榜的核心工作，慎重加货，及时汇报上级，避免单小时加货过多导致下一个小时减货，批次数据永远排第一位；</t>
    </r>
    <r>
      <rPr>
        <b/>
        <sz val="14"/>
        <color rgb="FFFF0000"/>
        <rFont val="微软雅黑"/>
        <charset val="134"/>
      </rPr>
      <t xml:space="preserve">
2. 前场每日12点前给到后厨后天的预估单，如需修改出货数量，请修改电子版预估单，不要群里口头通知，车间生产只以预估单数量为准；</t>
    </r>
    <r>
      <rPr>
        <b/>
        <sz val="14"/>
        <rFont val="微软雅黑"/>
        <charset val="134"/>
      </rPr>
      <t xml:space="preserve">
3.如有团购订单，需要在预估单上体现；
4</t>
    </r>
    <r>
      <rPr>
        <b/>
        <sz val="14"/>
        <color rgb="FFFF0000"/>
        <rFont val="微软雅黑"/>
        <charset val="134"/>
      </rPr>
      <t>.每天下午14:00前场需确定最后一批搅拌类产品出货；</t>
    </r>
    <r>
      <rPr>
        <b/>
        <sz val="14"/>
        <rFont val="微软雅黑"/>
        <charset val="134"/>
      </rPr>
      <t xml:space="preserve">
5.牛乳吐司每批不超72条；
6.三种坚果棒每批最大量120根；
7.奶酪核桃马卡龙、红豆松松吐司、心太软每批次最多不超60个（整个）；
8.加货明细：由战队长和主厨确定；
9.加货优先加TOP榜，其次加准TOP榜；
10.每小时必出：频次最重要；加货慎重：未达到产能极限前寻求上级确认。</t>
    </r>
  </si>
  <si>
    <t>预估合计金额</t>
  </si>
  <si>
    <t>牧场牛乳鲜吐司</t>
  </si>
  <si>
    <t>趁热奶酪核桃马卡龙</t>
  </si>
  <si>
    <t>趁热奶酪核桃马卡龙(半个)</t>
  </si>
  <si>
    <t>轻糖牛乳棒棒泡芙</t>
  </si>
  <si>
    <t>意式烟熏火腿芝士卷</t>
  </si>
  <si>
    <t>轻糖伊朗开心果棒棒泡芙</t>
  </si>
  <si>
    <t>轻糖伊朗开心果拿破仑酥</t>
  </si>
  <si>
    <t>趁热心动开心果蛋挞</t>
  </si>
  <si>
    <t>伊朗开心果榛巧马卡龙</t>
  </si>
  <si>
    <t>趁热心动巧克力蛋挞</t>
  </si>
  <si>
    <t>意式蓝莓奶油可颂</t>
  </si>
  <si>
    <t>黑松露火腿坚果棒</t>
  </si>
  <si>
    <t>蜂蜜蔓越莓能量棒</t>
  </si>
  <si>
    <t>总统黄油红豆锅巴可颂</t>
  </si>
  <si>
    <t>6号
可颂柜</t>
  </si>
  <si>
    <t>4号
冷出炉柜</t>
  </si>
  <si>
    <t>黑松露牛排惠灵顿可颂</t>
  </si>
  <si>
    <t>抹茶巧克力爆浆可颂</t>
  </si>
  <si>
    <t>冷加工</t>
  </si>
  <si>
    <t>开心果爆浆黑可颂</t>
  </si>
  <si>
    <t>意式晴王奶油可颂</t>
  </si>
  <si>
    <t>意式芒果奶油可颂</t>
  </si>
  <si>
    <t>浓黑巧碱水结</t>
  </si>
  <si>
    <t>轻糖乳脂心太软面包</t>
  </si>
  <si>
    <t>杨枝甘露面霜布丁</t>
  </si>
  <si>
    <t>意式空气提拉米苏</t>
  </si>
  <si>
    <t>比心黑巧蝴蝶酥</t>
  </si>
  <si>
    <t>巧克力树莓锅巴可颂</t>
  </si>
  <si>
    <t>烤炉</t>
  </si>
  <si>
    <t>岩烧金枕榴莲可颂</t>
  </si>
  <si>
    <t>趁热黄油可颂</t>
  </si>
  <si>
    <t>咸蛋黄爆浆可颂</t>
  </si>
  <si>
    <t>趁热招牌可颂</t>
  </si>
  <si>
    <t>法式烟熏鸡肉芝士惠灵顿可颂</t>
  </si>
  <si>
    <t>手作焦糖芝麻拿破仑</t>
  </si>
  <si>
    <t>乳酪贝果</t>
  </si>
  <si>
    <t>培根芝士贝果</t>
  </si>
  <si>
    <t>巧克力司康</t>
  </si>
  <si>
    <t>深海墨鱼芝士卷</t>
  </si>
  <si>
    <t>蔓越莓提子软司康</t>
  </si>
  <si>
    <t>烟熏火腿芝士吐司</t>
  </si>
  <si>
    <t>吐司</t>
  </si>
  <si>
    <t>红豆可颂鲜吐司</t>
  </si>
  <si>
    <t>松松咸蛋黄可颂鲜吐司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</si>
</sst>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  <numFmt numFmtId="179" formatCode="[$-804]aaaa;@"/>
    <numFmt numFmtId="180" formatCode="0.0_);[Red]\(0.0\)"/>
    <numFmt numFmtId="181" formatCode="0.00_ "/>
  </numFmts>
  <fonts count="40">
    <font>
      <sz val="11"/>
      <name val="宋体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sz val="16"/>
      <color rgb="FF000000"/>
      <name val="宋体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b/>
      <sz val="12"/>
      <color rgb="FF000000"/>
      <name val="宋体"/>
      <charset val="134"/>
    </font>
    <font>
      <sz val="16"/>
      <color rgb="FF000000"/>
      <name val="宋体 (正文)"/>
      <charset val="134"/>
    </font>
    <font>
      <b/>
      <sz val="16"/>
      <color rgb="FF000000"/>
      <name val="宋体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黑体"/>
      <charset val="134"/>
    </font>
    <font>
      <sz val="18"/>
      <name val="宋体"/>
      <charset val="134"/>
    </font>
    <font>
      <sz val="14"/>
      <color theme="5" tint="0.8"/>
      <name val="微软雅黑"/>
      <charset val="134"/>
    </font>
    <font>
      <b/>
      <sz val="12"/>
      <color rgb="FFFF0000"/>
      <name val="宋体"/>
      <charset val="134"/>
    </font>
    <font>
      <sz val="14"/>
      <color theme="4"/>
      <name val="微软雅黑"/>
      <charset val="134"/>
    </font>
    <font>
      <sz val="14"/>
      <color rgb="FF000000"/>
      <name val="宋体"/>
      <charset val="134"/>
    </font>
    <font>
      <b/>
      <sz val="16"/>
      <color rgb="FF000000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4" borderId="2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29" applyNumberFormat="0" applyAlignment="0" applyProtection="0">
      <alignment vertical="center"/>
    </xf>
    <xf numFmtId="0" fontId="30" fillId="16" borderId="30" applyNumberFormat="0" applyAlignment="0" applyProtection="0">
      <alignment vertical="center"/>
    </xf>
    <xf numFmtId="0" fontId="31" fillId="16" borderId="29" applyNumberFormat="0" applyAlignment="0" applyProtection="0">
      <alignment vertical="center"/>
    </xf>
    <xf numFmtId="0" fontId="32" fillId="17" borderId="31" applyNumberFormat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3" borderId="8" xfId="0" applyFont="1" applyFill="1" applyBorder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3" borderId="9" xfId="0" applyFont="1" applyFill="1" applyBorder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>
      <alignment vertical="center"/>
    </xf>
    <xf numFmtId="177" fontId="1" fillId="5" borderId="8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77" fontId="1" fillId="5" borderId="9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77" fontId="1" fillId="5" borderId="10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horizontal="center" vertical="center" wrapText="1"/>
    </xf>
    <xf numFmtId="176" fontId="5" fillId="2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Fill="1" applyBorder="1" applyAlignment="1">
      <alignment horizontal="center" vertical="center" wrapText="1"/>
    </xf>
    <xf numFmtId="178" fontId="5" fillId="6" borderId="7" xfId="0" applyNumberFormat="1" applyFont="1" applyFill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 wrapText="1"/>
    </xf>
    <xf numFmtId="179" fontId="4" fillId="4" borderId="7" xfId="0" applyNumberFormat="1" applyFont="1" applyFill="1" applyBorder="1" applyAlignment="1">
      <alignment horizontal="center" vertical="center" wrapText="1"/>
    </xf>
    <xf numFmtId="179" fontId="4" fillId="0" borderId="7" xfId="0" applyNumberFormat="1" applyFont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178" fontId="4" fillId="8" borderId="7" xfId="0" applyNumberFormat="1" applyFont="1" applyFill="1" applyBorder="1" applyAlignment="1">
      <alignment horizontal="center" vertical="center" wrapText="1"/>
    </xf>
    <xf numFmtId="178" fontId="4" fillId="8" borderId="11" xfId="0" applyNumberFormat="1" applyFont="1" applyFill="1" applyBorder="1" applyAlignment="1">
      <alignment horizontal="center" vertical="center" wrapText="1"/>
    </xf>
    <xf numFmtId="178" fontId="4" fillId="6" borderId="16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80" fontId="1" fillId="0" borderId="7" xfId="0" applyNumberFormat="1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9" fillId="0" borderId="7" xfId="0" applyFont="1" applyBorder="1">
      <alignment vertical="center"/>
    </xf>
    <xf numFmtId="58" fontId="8" fillId="9" borderId="7" xfId="0" applyNumberFormat="1" applyFont="1" applyFill="1" applyBorder="1">
      <alignment vertical="center"/>
    </xf>
    <xf numFmtId="58" fontId="8" fillId="10" borderId="11" xfId="0" applyNumberFormat="1" applyFont="1" applyFill="1" applyBorder="1">
      <alignment vertical="center"/>
    </xf>
    <xf numFmtId="58" fontId="8" fillId="0" borderId="1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76" fontId="10" fillId="8" borderId="7" xfId="0" applyNumberFormat="1" applyFont="1" applyFill="1" applyBorder="1" applyAlignment="1">
      <alignment horizontal="center" vertical="center" wrapText="1"/>
    </xf>
    <xf numFmtId="0" fontId="11" fillId="2" borderId="7" xfId="0" applyNumberFormat="1" applyFont="1" applyFill="1" applyBorder="1" applyAlignment="1">
      <alignment horizontal="center" vertical="center" wrapText="1"/>
    </xf>
    <xf numFmtId="177" fontId="11" fillId="4" borderId="7" xfId="0" applyNumberFormat="1" applyFont="1" applyFill="1" applyBorder="1" applyAlignment="1">
      <alignment horizontal="center" vertical="center" wrapText="1"/>
    </xf>
    <xf numFmtId="9" fontId="11" fillId="4" borderId="7" xfId="0" applyNumberFormat="1" applyFont="1" applyFill="1" applyBorder="1" applyAlignment="1">
      <alignment horizontal="center" vertical="center" wrapText="1"/>
    </xf>
    <xf numFmtId="177" fontId="2" fillId="6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left" vertical="center" wrapText="1"/>
    </xf>
    <xf numFmtId="0" fontId="4" fillId="0" borderId="11" xfId="0" applyFont="1" applyBorder="1">
      <alignment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180" fontId="10" fillId="8" borderId="7" xfId="0" applyNumberFormat="1" applyFont="1" applyFill="1" applyBorder="1" applyAlignment="1">
      <alignment horizontal="center" vertical="center" wrapText="1"/>
    </xf>
    <xf numFmtId="180" fontId="5" fillId="4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12" borderId="7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0" fontId="14" fillId="1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4" fillId="8" borderId="7" xfId="0" applyNumberFormat="1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16" fillId="0" borderId="7" xfId="0" applyFont="1" applyBorder="1" applyAlignment="1">
      <alignment horizontal="center" vertical="center" wrapText="1"/>
    </xf>
    <xf numFmtId="176" fontId="6" fillId="8" borderId="7" xfId="0" applyNumberFormat="1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 wrapText="1"/>
    </xf>
    <xf numFmtId="0" fontId="17" fillId="7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10" fontId="1" fillId="2" borderId="7" xfId="0" applyNumberFormat="1" applyFont="1" applyFill="1" applyBorder="1" applyAlignment="1">
      <alignment horizontal="center" vertical="center" wrapText="1"/>
    </xf>
    <xf numFmtId="180" fontId="11" fillId="2" borderId="7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20" fontId="19" fillId="0" borderId="7" xfId="0" applyNumberFormat="1" applyFont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8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1" defaultTableStyle="TableStyleMedium2" defaultPivotStyle="PivotStylePreset2_Accent1 1">
    <tableStyle name="PivotStylePreset2_Accent1 1" table="0" count="10" xr9:uid="{9859F4F1-3817-2F96-D6A9-C769144723AD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A58"/>
  <sheetViews>
    <sheetView tabSelected="1" zoomScale="59" zoomScaleNormal="59" topLeftCell="E1" workbookViewId="0">
      <pane xSplit="2" ySplit="4" topLeftCell="G5" activePane="bottomRight" state="frozen"/>
      <selection/>
      <selection pane="topRight"/>
      <selection pane="bottomLeft"/>
      <selection pane="bottomRight" activeCell="S11" sqref="S11"/>
    </sheetView>
  </sheetViews>
  <sheetFormatPr defaultColWidth="9" defaultRowHeight="20.4"/>
  <cols>
    <col min="2" max="2" width="25.3365384615385" customWidth="1"/>
    <col min="3" max="3" width="19.8365384615385" customWidth="1"/>
    <col min="4" max="5" width="15.8365384615385" customWidth="1"/>
    <col min="6" max="6" width="32.3076923076923" style="42" customWidth="1"/>
    <col min="7" max="7" width="61.4711538461538" style="43" customWidth="1"/>
    <col min="8" max="8" width="13.5" customWidth="1"/>
    <col min="9" max="9" width="16.0288461538462" style="44" customWidth="1"/>
    <col min="10" max="10" width="17.6538461538462" customWidth="1"/>
    <col min="11" max="11" width="12.6634615384615" customWidth="1"/>
    <col min="12" max="13" width="14.8365384615385" customWidth="1"/>
    <col min="14" max="14" width="12" customWidth="1"/>
    <col min="15" max="15" width="14.0192307692308" customWidth="1"/>
    <col min="16" max="16" width="15" customWidth="1"/>
    <col min="17" max="26" width="13.3942307692308" customWidth="1"/>
    <col min="27" max="36" width="11.3365384615385" hidden="1" customWidth="1"/>
    <col min="37" max="37" width="15.4903846153846" customWidth="1"/>
    <col min="38" max="40" width="15.2211538461538" customWidth="1"/>
    <col min="41" max="41" width="13.3365384615385" customWidth="1"/>
    <col min="42" max="42" width="13.5192307692308" customWidth="1"/>
    <col min="43" max="43" width="36.1538461538462" customWidth="1"/>
    <col min="44" max="44" width="20.5288461538462" customWidth="1"/>
    <col min="45" max="45" width="0.336538461538462" customWidth="1"/>
    <col min="46" max="46" width="19.4134615384615" style="45" customWidth="1"/>
    <col min="47" max="47" width="31.125" customWidth="1"/>
    <col min="48" max="48" width="26.5" customWidth="1"/>
    <col min="49" max="49" width="26.5" style="44" customWidth="1"/>
    <col min="50" max="50" width="28.1634615384615" style="44" customWidth="1"/>
    <col min="51" max="51" width="24.6634615384615" style="44" customWidth="1"/>
    <col min="52" max="52" width="24.8365384615385" customWidth="1"/>
  </cols>
  <sheetData>
    <row r="1" ht="50" customHeight="1" spans="1:53">
      <c r="A1" s="7" t="s">
        <v>0</v>
      </c>
      <c r="B1" s="7"/>
      <c r="C1" s="7"/>
      <c r="D1" s="7"/>
      <c r="E1" s="7"/>
      <c r="F1" s="32"/>
      <c r="G1" s="46"/>
      <c r="H1" s="7"/>
      <c r="I1" s="7"/>
      <c r="J1" s="7"/>
      <c r="K1" s="34"/>
      <c r="L1" s="34"/>
      <c r="M1" s="34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37"/>
      <c r="AS1" s="36"/>
      <c r="AT1" s="47"/>
      <c r="AU1" s="48"/>
      <c r="AV1" s="49"/>
      <c r="AW1" s="50" t="s">
        <v>1</v>
      </c>
      <c r="AX1" s="51" t="s">
        <v>2</v>
      </c>
      <c r="AY1" s="52" t="s">
        <v>3</v>
      </c>
    </row>
    <row r="2" ht="50" customHeight="1" spans="1:53">
      <c r="A2" s="53" t="s">
        <v>4</v>
      </c>
      <c r="B2" s="53"/>
      <c r="C2" s="53"/>
      <c r="D2" s="53"/>
      <c r="E2" s="53"/>
      <c r="F2" s="54"/>
      <c r="G2" s="55"/>
      <c r="H2" s="54" t="s">
        <v>1</v>
      </c>
      <c r="I2" s="56" t="s">
        <v>5</v>
      </c>
      <c r="J2" s="57" t="s">
        <v>6</v>
      </c>
      <c r="K2" s="58"/>
      <c r="L2" s="58"/>
      <c r="M2" s="58"/>
      <c r="N2" s="59"/>
      <c r="O2" s="59"/>
      <c r="P2" s="59"/>
      <c r="Q2" s="60" t="s">
        <v>7</v>
      </c>
      <c r="R2" s="61" t="s">
        <v>8</v>
      </c>
      <c r="S2" s="61"/>
      <c r="T2" s="32" t="s">
        <v>9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62"/>
      <c r="AR2" s="37"/>
      <c r="AS2" s="36"/>
      <c r="AT2" s="47"/>
      <c r="AU2" s="63"/>
      <c r="AV2" s="64"/>
      <c r="AW2" s="65">
        <v>46102</v>
      </c>
      <c r="AX2" s="66">
        <f>L3</f>
        <v>74</v>
      </c>
      <c r="AY2" s="67">
        <f>I3</f>
        <v>950</v>
      </c>
    </row>
    <row r="3" ht="66" customHeight="1" spans="1:53">
      <c r="A3" s="7"/>
      <c r="B3" s="7"/>
      <c r="C3" s="7"/>
      <c r="D3" s="7"/>
      <c r="E3" s="7" t="s">
        <v>10</v>
      </c>
      <c r="F3" s="68">
        <f>I3*L3</f>
        <v>70300</v>
      </c>
      <c r="G3" s="69"/>
      <c r="H3" s="7" t="s">
        <v>11</v>
      </c>
      <c r="I3" s="7">
        <v>950</v>
      </c>
      <c r="J3" s="7" t="s">
        <v>12</v>
      </c>
      <c r="K3" s="7"/>
      <c r="L3" s="7">
        <v>74</v>
      </c>
      <c r="M3" s="7"/>
      <c r="N3" s="7"/>
      <c r="O3" s="7" t="s">
        <v>13</v>
      </c>
      <c r="P3" s="7"/>
      <c r="Q3" s="7">
        <f>F3+S3-W3</f>
        <v>66800</v>
      </c>
      <c r="R3" s="38" t="s">
        <v>14</v>
      </c>
      <c r="S3" s="70">
        <f>U3+Y3</f>
        <v>3500</v>
      </c>
      <c r="T3" s="7" t="s">
        <v>15</v>
      </c>
      <c r="U3" s="7">
        <v>3000</v>
      </c>
      <c r="V3" s="7" t="s">
        <v>16</v>
      </c>
      <c r="W3" s="7">
        <v>7000</v>
      </c>
      <c r="X3" s="7" t="s">
        <v>17</v>
      </c>
      <c r="Y3" s="70">
        <v>500</v>
      </c>
      <c r="Z3" s="70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 t="s">
        <v>18</v>
      </c>
      <c r="AL3" s="7" t="s">
        <v>19</v>
      </c>
      <c r="AM3" s="32" t="s">
        <v>20</v>
      </c>
      <c r="AN3" s="32" t="s">
        <v>21</v>
      </c>
      <c r="AO3" s="32"/>
      <c r="AP3" s="7"/>
      <c r="AQ3" s="71"/>
      <c r="AR3" s="37"/>
      <c r="AS3" s="36"/>
      <c r="AT3" s="47"/>
      <c r="AU3" s="48"/>
      <c r="AV3" s="49"/>
      <c r="AW3" s="72" t="s">
        <v>22</v>
      </c>
      <c r="AX3" s="66" t="s">
        <v>23</v>
      </c>
      <c r="AY3" s="73" t="s">
        <v>24</v>
      </c>
      <c r="AZ3" s="9"/>
      <c r="BA3" s="9"/>
    </row>
    <row r="4" ht="50" customHeight="1" spans="1:53">
      <c r="A4" s="10" t="s">
        <v>25</v>
      </c>
      <c r="B4" s="10" t="s">
        <v>26</v>
      </c>
      <c r="C4" s="10"/>
      <c r="D4" s="7" t="s">
        <v>27</v>
      </c>
      <c r="E4" s="7" t="s">
        <v>25</v>
      </c>
      <c r="F4" s="74" t="s">
        <v>28</v>
      </c>
      <c r="G4" s="75"/>
      <c r="H4" s="76" t="s">
        <v>29</v>
      </c>
      <c r="I4" s="32" t="s">
        <v>30</v>
      </c>
      <c r="J4" s="7" t="s">
        <v>31</v>
      </c>
      <c r="K4" s="34" t="s">
        <v>32</v>
      </c>
      <c r="L4" s="34" t="s">
        <v>33</v>
      </c>
      <c r="M4" s="34" t="s">
        <v>34</v>
      </c>
      <c r="N4" s="7" t="s">
        <v>35</v>
      </c>
      <c r="O4" s="7" t="s">
        <v>36</v>
      </c>
      <c r="P4" s="7" t="s">
        <v>37</v>
      </c>
      <c r="Q4" s="7" t="s">
        <v>38</v>
      </c>
      <c r="R4" s="7" t="s">
        <v>39</v>
      </c>
      <c r="S4" s="7" t="s">
        <v>40</v>
      </c>
      <c r="T4" s="7" t="s">
        <v>41</v>
      </c>
      <c r="U4" s="7" t="s">
        <v>42</v>
      </c>
      <c r="V4" s="7" t="s">
        <v>43</v>
      </c>
      <c r="W4" s="7" t="s">
        <v>44</v>
      </c>
      <c r="X4" s="7" t="s">
        <v>45</v>
      </c>
      <c r="Y4" s="7" t="s">
        <v>46</v>
      </c>
      <c r="Z4" s="7" t="s">
        <v>47</v>
      </c>
      <c r="AA4" s="7" t="s">
        <v>48</v>
      </c>
      <c r="AB4" s="7" t="s">
        <v>49</v>
      </c>
      <c r="AC4" s="7" t="s">
        <v>50</v>
      </c>
      <c r="AD4" s="7" t="s">
        <v>51</v>
      </c>
      <c r="AE4" s="7" t="s">
        <v>52</v>
      </c>
      <c r="AF4" s="7" t="s">
        <v>53</v>
      </c>
      <c r="AG4" s="7" t="s">
        <v>54</v>
      </c>
      <c r="AH4" s="7" t="s">
        <v>55</v>
      </c>
      <c r="AI4" s="7" t="s">
        <v>56</v>
      </c>
      <c r="AJ4" s="7" t="s">
        <v>57</v>
      </c>
      <c r="AK4" s="77"/>
      <c r="AL4" s="7"/>
      <c r="AM4" s="7"/>
      <c r="AN4" s="7" t="s">
        <v>58</v>
      </c>
      <c r="AO4" s="7" t="s">
        <v>24</v>
      </c>
      <c r="AP4" s="70" t="s">
        <v>59</v>
      </c>
      <c r="AQ4" s="70" t="s">
        <v>60</v>
      </c>
      <c r="AR4" s="37" t="s">
        <v>61</v>
      </c>
      <c r="AS4" s="37"/>
      <c r="AT4" s="78" t="s">
        <v>62</v>
      </c>
      <c r="AU4" s="79" t="s">
        <v>63</v>
      </c>
      <c r="AV4" s="80" t="s">
        <v>64</v>
      </c>
      <c r="AW4" s="81" t="s">
        <v>65</v>
      </c>
      <c r="AX4" s="66">
        <v>8500</v>
      </c>
      <c r="AY4" s="73">
        <v>420</v>
      </c>
      <c r="AZ4" s="9"/>
      <c r="BA4" s="9"/>
    </row>
    <row r="5" ht="50" customHeight="1" spans="1:53">
      <c r="A5" s="12" t="s">
        <v>66</v>
      </c>
      <c r="B5" s="7" t="s">
        <v>67</v>
      </c>
      <c r="C5" s="82" t="s">
        <v>68</v>
      </c>
      <c r="D5" s="7">
        <v>1</v>
      </c>
      <c r="E5" s="82" t="s">
        <v>69</v>
      </c>
      <c r="F5" s="83" t="s">
        <v>70</v>
      </c>
      <c r="G5" s="46" t="s">
        <v>71</v>
      </c>
      <c r="H5" s="84">
        <v>9</v>
      </c>
      <c r="I5" s="16">
        <v>20</v>
      </c>
      <c r="J5" s="85">
        <f>SUM(Q5:Z5)</f>
        <v>1200</v>
      </c>
      <c r="K5" s="86"/>
      <c r="L5" s="86"/>
      <c r="M5" s="87">
        <f t="shared" ref="M5:M16" si="0">(J5-AN5)/$I$3</f>
        <v>1.15789473684211</v>
      </c>
      <c r="N5" s="88" t="s">
        <v>72</v>
      </c>
      <c r="O5" s="88"/>
      <c r="P5" s="18">
        <f>H5*J5</f>
        <v>10800</v>
      </c>
      <c r="Q5" s="89">
        <v>120</v>
      </c>
      <c r="R5" s="89">
        <v>120</v>
      </c>
      <c r="S5" s="89">
        <v>120</v>
      </c>
      <c r="T5" s="89">
        <v>120</v>
      </c>
      <c r="U5" s="89">
        <v>120</v>
      </c>
      <c r="V5" s="89">
        <v>120</v>
      </c>
      <c r="W5" s="89">
        <v>120</v>
      </c>
      <c r="X5" s="89">
        <v>120</v>
      </c>
      <c r="Y5" s="89">
        <v>120</v>
      </c>
      <c r="Z5" s="89">
        <v>120</v>
      </c>
      <c r="AA5" s="60">
        <f t="shared" ref="AA5:AA21" si="1">H5*Q5</f>
        <v>1080</v>
      </c>
      <c r="AB5" s="60">
        <f t="shared" ref="AB5:AB21" si="2">H5*R5</f>
        <v>1080</v>
      </c>
      <c r="AC5" s="60">
        <f t="shared" ref="AC5:AC21" si="3">H5*S5</f>
        <v>1080</v>
      </c>
      <c r="AD5" s="60">
        <f t="shared" ref="AD5:AD21" si="4">H5*T5</f>
        <v>1080</v>
      </c>
      <c r="AE5" s="60">
        <f t="shared" ref="AE5:AE21" si="5">H5*U5</f>
        <v>1080</v>
      </c>
      <c r="AF5" s="60">
        <f t="shared" ref="AF5:AF21" si="6">H5*V5</f>
        <v>1080</v>
      </c>
      <c r="AG5" s="60">
        <f t="shared" ref="AG5:AG21" si="7">H5*W5</f>
        <v>1080</v>
      </c>
      <c r="AH5" s="60">
        <f t="shared" ref="AH5:AH21" si="8">H5*X5</f>
        <v>1080</v>
      </c>
      <c r="AI5" s="60">
        <f t="shared" ref="AI5:AI20" si="9">H5*Y5</f>
        <v>1080</v>
      </c>
      <c r="AJ5" s="60">
        <f t="shared" ref="AJ5:AJ21" si="10">H5*Z5</f>
        <v>1080</v>
      </c>
      <c r="AK5" s="90">
        <v>150</v>
      </c>
      <c r="AL5" s="28">
        <f>IF(Q5+R5-AK5&gt;0,Q5+R5-AK5,0)</f>
        <v>90</v>
      </c>
      <c r="AM5" s="28">
        <f t="shared" ref="AM5:AM24" si="11">AL5*H5</f>
        <v>810</v>
      </c>
      <c r="AN5" s="28">
        <v>100</v>
      </c>
      <c r="AO5" s="28">
        <f>AN5*H5</f>
        <v>900</v>
      </c>
      <c r="AP5" s="7" t="s">
        <v>73</v>
      </c>
      <c r="AQ5" s="91" t="s">
        <v>74</v>
      </c>
      <c r="AR5" s="37">
        <v>300</v>
      </c>
      <c r="AS5" s="92">
        <f>H5*AR5</f>
        <v>2700</v>
      </c>
      <c r="AT5" s="47"/>
      <c r="AU5" s="93" t="s">
        <v>75</v>
      </c>
      <c r="AV5" s="94" t="s">
        <v>76</v>
      </c>
      <c r="AW5" s="72" t="s">
        <v>77</v>
      </c>
      <c r="AX5" s="66">
        <v>10000</v>
      </c>
      <c r="AY5" s="73">
        <v>330</v>
      </c>
      <c r="AZ5" s="9"/>
      <c r="BA5" s="9"/>
    </row>
    <row r="6" ht="50" customHeight="1" spans="1:53">
      <c r="A6" s="17"/>
      <c r="B6" s="7"/>
      <c r="C6" s="95"/>
      <c r="D6" s="7"/>
      <c r="E6" s="95"/>
      <c r="F6" s="46" t="s">
        <v>78</v>
      </c>
      <c r="G6" s="46" t="s">
        <v>79</v>
      </c>
      <c r="H6" s="84">
        <v>13</v>
      </c>
      <c r="I6" s="16">
        <v>20</v>
      </c>
      <c r="J6" s="85">
        <f t="shared" ref="J6:J11" si="12">SUM(Q6:Z6)</f>
        <v>100</v>
      </c>
      <c r="K6" s="86"/>
      <c r="L6" s="86"/>
      <c r="M6" s="87">
        <f t="shared" si="0"/>
        <v>0.105263157894737</v>
      </c>
      <c r="N6" s="88" t="s">
        <v>80</v>
      </c>
      <c r="O6" s="88"/>
      <c r="P6" s="18">
        <f t="shared" ref="P5:P16" si="13">H6*J6</f>
        <v>1300</v>
      </c>
      <c r="Q6" s="96"/>
      <c r="R6" s="89">
        <v>40</v>
      </c>
      <c r="S6" s="96"/>
      <c r="T6" s="96"/>
      <c r="U6" s="96"/>
      <c r="V6" s="89">
        <v>30</v>
      </c>
      <c r="W6" s="96"/>
      <c r="X6" s="96"/>
      <c r="Y6" s="89">
        <v>30</v>
      </c>
      <c r="Z6" s="96"/>
      <c r="AA6" s="60">
        <f t="shared" si="1"/>
        <v>0</v>
      </c>
      <c r="AB6" s="60">
        <f t="shared" si="2"/>
        <v>520</v>
      </c>
      <c r="AC6" s="60">
        <f t="shared" si="3"/>
        <v>0</v>
      </c>
      <c r="AD6" s="60">
        <f t="shared" si="4"/>
        <v>0</v>
      </c>
      <c r="AE6" s="60">
        <f t="shared" si="5"/>
        <v>0</v>
      </c>
      <c r="AF6" s="60">
        <f t="shared" si="6"/>
        <v>390</v>
      </c>
      <c r="AG6" s="60">
        <f t="shared" si="7"/>
        <v>0</v>
      </c>
      <c r="AH6" s="60">
        <f t="shared" si="8"/>
        <v>0</v>
      </c>
      <c r="AI6" s="60">
        <f t="shared" si="9"/>
        <v>390</v>
      </c>
      <c r="AJ6" s="60">
        <f t="shared" si="10"/>
        <v>0</v>
      </c>
      <c r="AK6" s="90">
        <v>25</v>
      </c>
      <c r="AL6" s="28">
        <f>IF(Q6+R6-AK6&gt;0,Q6+R6-AK6,0)</f>
        <v>15</v>
      </c>
      <c r="AM6" s="28">
        <f t="shared" si="11"/>
        <v>195</v>
      </c>
      <c r="AN6" s="28"/>
      <c r="AO6" s="28">
        <f t="shared" ref="AO6:AO11" si="14">AN6*H6</f>
        <v>0</v>
      </c>
      <c r="AP6" s="7"/>
      <c r="AQ6" s="91" t="s">
        <v>74</v>
      </c>
      <c r="AR6" s="37"/>
      <c r="AS6" s="92"/>
      <c r="AT6" s="47"/>
      <c r="AU6" s="93"/>
      <c r="AV6" s="94"/>
      <c r="AW6" s="72" t="s">
        <v>81</v>
      </c>
      <c r="AX6" s="66">
        <v>9500</v>
      </c>
      <c r="AY6" s="73">
        <v>330</v>
      </c>
      <c r="AZ6" s="9"/>
      <c r="BA6" s="9"/>
    </row>
    <row r="7" ht="50" customHeight="1" spans="1:53">
      <c r="A7" s="17"/>
      <c r="B7" s="7"/>
      <c r="C7" s="95"/>
      <c r="D7" s="7"/>
      <c r="E7" s="95"/>
      <c r="F7" s="46" t="s">
        <v>82</v>
      </c>
      <c r="G7" s="46" t="s">
        <v>83</v>
      </c>
      <c r="H7" s="84">
        <v>13</v>
      </c>
      <c r="I7" s="16">
        <v>20</v>
      </c>
      <c r="J7" s="85">
        <f t="shared" si="12"/>
        <v>80</v>
      </c>
      <c r="K7" s="86"/>
      <c r="L7" s="86"/>
      <c r="M7" s="87">
        <f t="shared" si="0"/>
        <v>0.0842105263157895</v>
      </c>
      <c r="N7" s="88" t="s">
        <v>80</v>
      </c>
      <c r="O7" s="88"/>
      <c r="P7" s="18">
        <f t="shared" si="13"/>
        <v>1040</v>
      </c>
      <c r="Q7" s="96"/>
      <c r="R7" s="89">
        <v>40</v>
      </c>
      <c r="S7" s="96"/>
      <c r="T7" s="96"/>
      <c r="U7" s="96"/>
      <c r="V7" s="89">
        <v>20</v>
      </c>
      <c r="W7" s="96"/>
      <c r="X7" s="96"/>
      <c r="Y7" s="89">
        <v>20</v>
      </c>
      <c r="Z7" s="96"/>
      <c r="AA7" s="60">
        <f t="shared" si="1"/>
        <v>0</v>
      </c>
      <c r="AB7" s="60">
        <f t="shared" si="2"/>
        <v>520</v>
      </c>
      <c r="AC7" s="60">
        <f t="shared" si="3"/>
        <v>0</v>
      </c>
      <c r="AD7" s="60">
        <f t="shared" si="4"/>
        <v>0</v>
      </c>
      <c r="AE7" s="60">
        <f t="shared" si="5"/>
        <v>0</v>
      </c>
      <c r="AF7" s="60">
        <f t="shared" si="6"/>
        <v>260</v>
      </c>
      <c r="AG7" s="60">
        <f t="shared" si="7"/>
        <v>0</v>
      </c>
      <c r="AH7" s="60">
        <f t="shared" si="8"/>
        <v>0</v>
      </c>
      <c r="AI7" s="60">
        <f t="shared" si="9"/>
        <v>260</v>
      </c>
      <c r="AJ7" s="60">
        <f t="shared" si="10"/>
        <v>0</v>
      </c>
      <c r="AK7" s="90">
        <v>12</v>
      </c>
      <c r="AL7" s="28">
        <f>IF(Q7+R7-AK7&gt;0,Q7+R7-AK7,0)</f>
        <v>28</v>
      </c>
      <c r="AM7" s="28">
        <f t="shared" si="11"/>
        <v>364</v>
      </c>
      <c r="AN7" s="28"/>
      <c r="AO7" s="28">
        <f t="shared" si="14"/>
        <v>0</v>
      </c>
      <c r="AP7" s="7"/>
      <c r="AQ7" s="91" t="s">
        <v>74</v>
      </c>
      <c r="AR7" s="37"/>
      <c r="AS7" s="92"/>
      <c r="AT7" s="47"/>
      <c r="AU7" s="93"/>
      <c r="AV7" s="94"/>
      <c r="AW7" s="72" t="s">
        <v>84</v>
      </c>
      <c r="AX7" s="66">
        <v>9000</v>
      </c>
      <c r="AY7" s="73">
        <v>330</v>
      </c>
      <c r="AZ7" s="9"/>
      <c r="BA7" s="9"/>
    </row>
    <row r="8" ht="50" customHeight="1" spans="1:53">
      <c r="A8" s="17"/>
      <c r="B8" s="7" t="s">
        <v>85</v>
      </c>
      <c r="C8" s="95"/>
      <c r="D8" s="7">
        <v>2</v>
      </c>
      <c r="E8" s="95"/>
      <c r="F8" s="83" t="s">
        <v>86</v>
      </c>
      <c r="G8" s="46" t="s">
        <v>87</v>
      </c>
      <c r="H8" s="84">
        <v>16</v>
      </c>
      <c r="I8" s="16">
        <v>12</v>
      </c>
      <c r="J8" s="85">
        <f t="shared" si="12"/>
        <v>360</v>
      </c>
      <c r="K8" s="86"/>
      <c r="L8" s="86"/>
      <c r="M8" s="87">
        <f t="shared" si="0"/>
        <v>0.357894736842105</v>
      </c>
      <c r="N8" s="88" t="s">
        <v>72</v>
      </c>
      <c r="O8" s="88"/>
      <c r="P8" s="18">
        <f t="shared" si="13"/>
        <v>5760</v>
      </c>
      <c r="Q8" s="89">
        <v>96</v>
      </c>
      <c r="R8" s="96"/>
      <c r="S8" s="96"/>
      <c r="T8" s="89">
        <v>96</v>
      </c>
      <c r="U8" s="96"/>
      <c r="V8" s="89">
        <v>96</v>
      </c>
      <c r="W8" s="96"/>
      <c r="X8" s="96"/>
      <c r="Y8" s="89">
        <v>72</v>
      </c>
      <c r="Z8" s="96"/>
      <c r="AA8" s="60">
        <f t="shared" si="1"/>
        <v>1536</v>
      </c>
      <c r="AB8" s="60">
        <f t="shared" si="2"/>
        <v>0</v>
      </c>
      <c r="AC8" s="60">
        <f t="shared" si="3"/>
        <v>0</v>
      </c>
      <c r="AD8" s="60">
        <f t="shared" si="4"/>
        <v>1536</v>
      </c>
      <c r="AE8" s="60">
        <f t="shared" si="5"/>
        <v>0</v>
      </c>
      <c r="AF8" s="60">
        <f t="shared" si="6"/>
        <v>1536</v>
      </c>
      <c r="AG8" s="60">
        <f t="shared" si="7"/>
        <v>0</v>
      </c>
      <c r="AH8" s="60">
        <f t="shared" si="8"/>
        <v>0</v>
      </c>
      <c r="AI8" s="60">
        <f t="shared" si="9"/>
        <v>1152</v>
      </c>
      <c r="AJ8" s="60">
        <f t="shared" si="10"/>
        <v>0</v>
      </c>
      <c r="AK8" s="90">
        <v>40</v>
      </c>
      <c r="AL8" s="28">
        <f>IF(Q8+R8-AK8&gt;0,Q8+R8-AK8,0)</f>
        <v>56</v>
      </c>
      <c r="AM8" s="28">
        <f t="shared" si="11"/>
        <v>896</v>
      </c>
      <c r="AN8" s="28">
        <v>20</v>
      </c>
      <c r="AO8" s="28">
        <f t="shared" si="14"/>
        <v>320</v>
      </c>
      <c r="AP8" s="7"/>
      <c r="AQ8" s="91" t="s">
        <v>88</v>
      </c>
      <c r="AR8" s="37">
        <v>60</v>
      </c>
      <c r="AS8" s="92">
        <f>H8*AR8</f>
        <v>960</v>
      </c>
      <c r="AT8" s="47"/>
      <c r="AU8" s="93" t="s">
        <v>89</v>
      </c>
      <c r="AV8" s="94" t="s">
        <v>89</v>
      </c>
      <c r="AW8" s="72" t="s">
        <v>90</v>
      </c>
      <c r="AX8" s="66">
        <v>8000</v>
      </c>
      <c r="AY8" s="73">
        <v>330</v>
      </c>
      <c r="AZ8" s="9"/>
      <c r="BA8" s="9"/>
    </row>
    <row r="9" ht="50" customHeight="1" spans="1:53">
      <c r="A9" s="17"/>
      <c r="B9" s="7" t="s">
        <v>91</v>
      </c>
      <c r="C9" s="95"/>
      <c r="D9" s="7">
        <v>3</v>
      </c>
      <c r="E9" s="95"/>
      <c r="F9" s="46" t="s">
        <v>92</v>
      </c>
      <c r="G9" s="46" t="s">
        <v>93</v>
      </c>
      <c r="H9" s="97">
        <v>19</v>
      </c>
      <c r="I9" s="16">
        <v>30</v>
      </c>
      <c r="J9" s="85">
        <f t="shared" si="12"/>
        <v>90</v>
      </c>
      <c r="K9" s="86"/>
      <c r="L9" s="86"/>
      <c r="M9" s="87">
        <f t="shared" si="0"/>
        <v>0.0842105263157895</v>
      </c>
      <c r="N9" s="88" t="s">
        <v>72</v>
      </c>
      <c r="O9" s="88"/>
      <c r="P9" s="98">
        <f t="shared" si="13"/>
        <v>1710</v>
      </c>
      <c r="Q9" s="96"/>
      <c r="R9" s="89">
        <v>30</v>
      </c>
      <c r="S9" s="96"/>
      <c r="T9" s="96"/>
      <c r="U9" s="96"/>
      <c r="V9" s="89">
        <v>30</v>
      </c>
      <c r="W9" s="96"/>
      <c r="X9" s="96"/>
      <c r="Y9" s="89">
        <v>30</v>
      </c>
      <c r="Z9" s="96"/>
      <c r="AA9" s="60">
        <f t="shared" si="1"/>
        <v>0</v>
      </c>
      <c r="AB9" s="60">
        <f t="shared" si="2"/>
        <v>570</v>
      </c>
      <c r="AC9" s="60">
        <f t="shared" si="3"/>
        <v>0</v>
      </c>
      <c r="AD9" s="60">
        <f t="shared" si="4"/>
        <v>0</v>
      </c>
      <c r="AE9" s="60">
        <f t="shared" si="5"/>
        <v>0</v>
      </c>
      <c r="AF9" s="60">
        <f t="shared" si="6"/>
        <v>570</v>
      </c>
      <c r="AG9" s="60">
        <f t="shared" si="7"/>
        <v>0</v>
      </c>
      <c r="AH9" s="60">
        <f t="shared" si="8"/>
        <v>0</v>
      </c>
      <c r="AI9" s="60">
        <f t="shared" si="9"/>
        <v>570</v>
      </c>
      <c r="AJ9" s="60">
        <f t="shared" si="10"/>
        <v>0</v>
      </c>
      <c r="AK9" s="90">
        <v>30</v>
      </c>
      <c r="AL9" s="28">
        <f>IF(S9+R9-AK9&gt;0,S9+R9-AK9,0)</f>
        <v>0</v>
      </c>
      <c r="AM9" s="28">
        <f t="shared" si="11"/>
        <v>0</v>
      </c>
      <c r="AN9" s="28">
        <v>10</v>
      </c>
      <c r="AO9" s="28">
        <f t="shared" si="14"/>
        <v>190</v>
      </c>
      <c r="AP9" s="7" t="s">
        <v>94</v>
      </c>
      <c r="AQ9" s="91" t="s">
        <v>88</v>
      </c>
      <c r="AR9" s="37">
        <v>60</v>
      </c>
      <c r="AS9" s="92">
        <f>H9*AR9</f>
        <v>1140</v>
      </c>
      <c r="AT9" s="47"/>
      <c r="AU9" s="93"/>
      <c r="AV9" s="94"/>
      <c r="AW9" s="72" t="s">
        <v>95</v>
      </c>
      <c r="AX9" s="66">
        <v>7000</v>
      </c>
      <c r="AY9" s="73">
        <v>330</v>
      </c>
      <c r="AZ9" s="9"/>
      <c r="BA9" s="9"/>
    </row>
    <row r="10" ht="50" customHeight="1" spans="1:53">
      <c r="A10" s="17"/>
      <c r="B10" s="7" t="s">
        <v>91</v>
      </c>
      <c r="C10" s="95"/>
      <c r="D10" s="7">
        <v>4</v>
      </c>
      <c r="E10" s="95"/>
      <c r="F10" s="99" t="s">
        <v>96</v>
      </c>
      <c r="G10" s="46" t="s">
        <v>97</v>
      </c>
      <c r="H10" s="97">
        <v>19</v>
      </c>
      <c r="I10" s="16">
        <v>30</v>
      </c>
      <c r="J10" s="85">
        <f t="shared" si="12"/>
        <v>150</v>
      </c>
      <c r="K10" s="86"/>
      <c r="L10" s="86"/>
      <c r="M10" s="87">
        <f t="shared" si="0"/>
        <v>0.136842105263158</v>
      </c>
      <c r="N10" s="88" t="s">
        <v>72</v>
      </c>
      <c r="O10" s="88"/>
      <c r="P10" s="18">
        <f t="shared" si="13"/>
        <v>2850</v>
      </c>
      <c r="Q10" s="96"/>
      <c r="R10" s="89">
        <v>60</v>
      </c>
      <c r="S10" s="96"/>
      <c r="T10" s="96"/>
      <c r="U10" s="96"/>
      <c r="V10" s="89">
        <v>60</v>
      </c>
      <c r="W10" s="96"/>
      <c r="X10" s="96"/>
      <c r="Y10" s="89">
        <v>30</v>
      </c>
      <c r="Z10" s="96"/>
      <c r="AA10" s="60">
        <f t="shared" si="1"/>
        <v>0</v>
      </c>
      <c r="AB10" s="60">
        <f t="shared" si="2"/>
        <v>1140</v>
      </c>
      <c r="AC10" s="60">
        <f t="shared" si="3"/>
        <v>0</v>
      </c>
      <c r="AD10" s="60">
        <f t="shared" si="4"/>
        <v>0</v>
      </c>
      <c r="AE10" s="60">
        <f t="shared" si="5"/>
        <v>0</v>
      </c>
      <c r="AF10" s="60">
        <f t="shared" si="6"/>
        <v>1140</v>
      </c>
      <c r="AG10" s="60">
        <f t="shared" si="7"/>
        <v>0</v>
      </c>
      <c r="AH10" s="60">
        <f t="shared" si="8"/>
        <v>0</v>
      </c>
      <c r="AI10" s="60">
        <f t="shared" si="9"/>
        <v>570</v>
      </c>
      <c r="AJ10" s="60">
        <f t="shared" si="10"/>
        <v>0</v>
      </c>
      <c r="AK10" s="90">
        <v>30</v>
      </c>
      <c r="AL10" s="28">
        <f t="shared" ref="AL10:AL24" si="15">IF(Q10+R10-AK10&gt;0,Q10+R10-AK10,0)</f>
        <v>30</v>
      </c>
      <c r="AM10" s="28">
        <f t="shared" si="11"/>
        <v>570</v>
      </c>
      <c r="AN10" s="28">
        <v>20</v>
      </c>
      <c r="AO10" s="28">
        <f t="shared" si="14"/>
        <v>380</v>
      </c>
      <c r="AP10" s="7" t="s">
        <v>94</v>
      </c>
      <c r="AQ10" s="91" t="s">
        <v>88</v>
      </c>
      <c r="AR10" s="37">
        <v>120</v>
      </c>
      <c r="AS10" s="92">
        <f>H10*AR10</f>
        <v>2280</v>
      </c>
      <c r="AT10" s="47"/>
      <c r="AU10" s="93"/>
      <c r="AV10" s="94"/>
      <c r="AW10" s="72" t="s">
        <v>98</v>
      </c>
      <c r="AX10" s="66">
        <v>8000</v>
      </c>
      <c r="AY10" s="73">
        <v>350</v>
      </c>
      <c r="AZ10" s="9"/>
      <c r="BA10" s="9"/>
    </row>
    <row r="11" ht="50" customHeight="1" spans="1:53">
      <c r="A11" s="21"/>
      <c r="B11" s="20" t="s">
        <v>99</v>
      </c>
      <c r="C11" s="100"/>
      <c r="D11" s="7">
        <v>6</v>
      </c>
      <c r="E11" s="100"/>
      <c r="F11" s="83" t="s">
        <v>100</v>
      </c>
      <c r="G11" s="46" t="s">
        <v>101</v>
      </c>
      <c r="H11" s="97">
        <v>29</v>
      </c>
      <c r="I11" s="16">
        <v>6</v>
      </c>
      <c r="J11" s="85">
        <f t="shared" si="12"/>
        <v>380</v>
      </c>
      <c r="K11" s="86"/>
      <c r="L11" s="86"/>
      <c r="M11" s="87">
        <f t="shared" si="0"/>
        <v>0.4</v>
      </c>
      <c r="N11" s="88" t="s">
        <v>72</v>
      </c>
      <c r="O11" s="88"/>
      <c r="P11" s="18">
        <f t="shared" si="13"/>
        <v>11020</v>
      </c>
      <c r="Q11" s="96"/>
      <c r="R11" s="89">
        <v>100</v>
      </c>
      <c r="S11" s="96"/>
      <c r="T11" s="89">
        <v>80</v>
      </c>
      <c r="U11" s="96"/>
      <c r="V11" s="96"/>
      <c r="W11" s="89">
        <v>100</v>
      </c>
      <c r="X11" s="96"/>
      <c r="Y11" s="89">
        <v>100</v>
      </c>
      <c r="Z11" s="96"/>
      <c r="AA11" s="60">
        <f t="shared" si="1"/>
        <v>0</v>
      </c>
      <c r="AB11" s="60">
        <f t="shared" si="2"/>
        <v>2900</v>
      </c>
      <c r="AC11" s="60">
        <f t="shared" si="3"/>
        <v>0</v>
      </c>
      <c r="AD11" s="60">
        <f t="shared" si="4"/>
        <v>2320</v>
      </c>
      <c r="AE11" s="60">
        <f t="shared" si="5"/>
        <v>0</v>
      </c>
      <c r="AF11" s="60">
        <f t="shared" si="6"/>
        <v>0</v>
      </c>
      <c r="AG11" s="60">
        <f t="shared" si="7"/>
        <v>2900</v>
      </c>
      <c r="AH11" s="60">
        <f t="shared" si="8"/>
        <v>0</v>
      </c>
      <c r="AI11" s="60">
        <f t="shared" si="9"/>
        <v>2900</v>
      </c>
      <c r="AJ11" s="60">
        <f t="shared" si="10"/>
        <v>0</v>
      </c>
      <c r="AK11" s="90">
        <v>80</v>
      </c>
      <c r="AL11" s="28">
        <f t="shared" si="15"/>
        <v>20</v>
      </c>
      <c r="AM11" s="28">
        <f t="shared" si="11"/>
        <v>580</v>
      </c>
      <c r="AN11" s="28"/>
      <c r="AO11" s="28">
        <f t="shared" si="14"/>
        <v>0</v>
      </c>
      <c r="AP11" s="7"/>
      <c r="AQ11" s="91" t="s">
        <v>102</v>
      </c>
      <c r="AR11" s="37">
        <v>300</v>
      </c>
      <c r="AS11" s="92">
        <f>H11*AR11</f>
        <v>8700</v>
      </c>
      <c r="AT11" s="47"/>
      <c r="AU11" s="93"/>
      <c r="AV11" s="94"/>
      <c r="AW11" s="72" t="s">
        <v>103</v>
      </c>
      <c r="AX11" s="66">
        <v>6500</v>
      </c>
      <c r="AY11" s="73">
        <v>330</v>
      </c>
    </row>
    <row r="12" ht="50" customHeight="1" spans="1:53">
      <c r="A12" s="17"/>
      <c r="B12" s="20"/>
      <c r="C12" s="95"/>
      <c r="D12" s="7"/>
      <c r="E12" s="82" t="s">
        <v>104</v>
      </c>
      <c r="F12" s="23" t="s">
        <v>105</v>
      </c>
      <c r="G12" s="101" t="s">
        <v>106</v>
      </c>
      <c r="H12" s="97">
        <v>19</v>
      </c>
      <c r="I12" s="16">
        <v>24</v>
      </c>
      <c r="J12" s="85">
        <f t="shared" ref="J12:J19" si="16">SUM(Q12:Z12)</f>
        <v>24</v>
      </c>
      <c r="K12" s="20"/>
      <c r="L12" s="20"/>
      <c r="M12" s="87">
        <f t="shared" si="0"/>
        <v>0.0252631578947368</v>
      </c>
      <c r="N12" s="88" t="s">
        <v>72</v>
      </c>
      <c r="O12" s="102"/>
      <c r="P12" s="18">
        <f t="shared" si="13"/>
        <v>456</v>
      </c>
      <c r="Q12" s="96"/>
      <c r="R12" s="96"/>
      <c r="S12" s="89">
        <v>12</v>
      </c>
      <c r="T12" s="96"/>
      <c r="U12" s="96"/>
      <c r="V12" s="96"/>
      <c r="W12" s="96"/>
      <c r="X12" s="96"/>
      <c r="Y12" s="89">
        <v>12</v>
      </c>
      <c r="Z12" s="96"/>
      <c r="AA12" s="60">
        <f t="shared" si="1"/>
        <v>0</v>
      </c>
      <c r="AB12" s="60">
        <f t="shared" si="2"/>
        <v>0</v>
      </c>
      <c r="AC12" s="60">
        <f t="shared" si="3"/>
        <v>228</v>
      </c>
      <c r="AD12" s="60">
        <f t="shared" si="4"/>
        <v>0</v>
      </c>
      <c r="AE12" s="60">
        <f t="shared" si="5"/>
        <v>0</v>
      </c>
      <c r="AF12" s="60">
        <f t="shared" si="6"/>
        <v>0</v>
      </c>
      <c r="AG12" s="60">
        <f t="shared" si="7"/>
        <v>0</v>
      </c>
      <c r="AH12" s="60">
        <f t="shared" si="8"/>
        <v>0</v>
      </c>
      <c r="AI12" s="60">
        <f t="shared" si="9"/>
        <v>228</v>
      </c>
      <c r="AJ12" s="60">
        <f t="shared" si="10"/>
        <v>0</v>
      </c>
      <c r="AK12" s="90">
        <v>12</v>
      </c>
      <c r="AL12" s="28">
        <f t="shared" si="15"/>
        <v>0</v>
      </c>
      <c r="AM12" s="28">
        <f t="shared" si="11"/>
        <v>0</v>
      </c>
      <c r="AN12" s="28"/>
      <c r="AO12" s="28">
        <f t="shared" ref="AO12:AO24" si="17">AN12*H12</f>
        <v>0</v>
      </c>
      <c r="AP12" s="7" t="s">
        <v>107</v>
      </c>
      <c r="AQ12" s="103" t="s">
        <v>108</v>
      </c>
      <c r="AR12" s="37"/>
      <c r="AS12" s="92"/>
      <c r="AT12" s="47"/>
      <c r="AU12" s="93"/>
      <c r="AV12" s="94"/>
      <c r="AW12" s="72" t="s">
        <v>109</v>
      </c>
      <c r="AX12" s="66">
        <v>8500</v>
      </c>
      <c r="AY12" s="73">
        <v>330</v>
      </c>
      <c r="AZ12" s="9"/>
      <c r="BA12" s="9"/>
    </row>
    <row r="13" ht="50" customHeight="1" spans="1:53">
      <c r="A13" s="22" t="s">
        <v>110</v>
      </c>
      <c r="B13" s="7" t="s">
        <v>67</v>
      </c>
      <c r="C13" s="82" t="s">
        <v>111</v>
      </c>
      <c r="D13" s="7">
        <v>7</v>
      </c>
      <c r="E13" s="95"/>
      <c r="F13" s="23" t="s">
        <v>112</v>
      </c>
      <c r="G13" s="101" t="s">
        <v>113</v>
      </c>
      <c r="H13" s="97">
        <v>20</v>
      </c>
      <c r="I13" s="16">
        <v>24</v>
      </c>
      <c r="J13" s="85">
        <f t="shared" si="16"/>
        <v>0</v>
      </c>
      <c r="K13" s="86"/>
      <c r="L13" s="86"/>
      <c r="M13" s="87">
        <f t="shared" si="0"/>
        <v>0</v>
      </c>
      <c r="N13" s="88" t="s">
        <v>72</v>
      </c>
      <c r="O13" s="88"/>
      <c r="P13" s="18">
        <f t="shared" si="13"/>
        <v>0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60">
        <f t="shared" si="1"/>
        <v>0</v>
      </c>
      <c r="AB13" s="60">
        <f t="shared" si="2"/>
        <v>0</v>
      </c>
      <c r="AC13" s="60">
        <f t="shared" si="3"/>
        <v>0</v>
      </c>
      <c r="AD13" s="60">
        <f t="shared" si="4"/>
        <v>0</v>
      </c>
      <c r="AE13" s="60">
        <f t="shared" si="5"/>
        <v>0</v>
      </c>
      <c r="AF13" s="60">
        <f t="shared" si="6"/>
        <v>0</v>
      </c>
      <c r="AG13" s="60">
        <f t="shared" si="7"/>
        <v>0</v>
      </c>
      <c r="AH13" s="60">
        <f t="shared" si="8"/>
        <v>0</v>
      </c>
      <c r="AI13" s="60">
        <f t="shared" si="9"/>
        <v>0</v>
      </c>
      <c r="AJ13" s="60">
        <f t="shared" si="10"/>
        <v>0</v>
      </c>
      <c r="AK13" s="90">
        <v>6</v>
      </c>
      <c r="AL13" s="28">
        <f t="shared" si="15"/>
        <v>0</v>
      </c>
      <c r="AM13" s="28">
        <f t="shared" si="11"/>
        <v>0</v>
      </c>
      <c r="AN13" s="28"/>
      <c r="AO13" s="28">
        <f t="shared" si="17"/>
        <v>0</v>
      </c>
      <c r="AP13" s="7" t="s">
        <v>107</v>
      </c>
      <c r="AQ13" s="104"/>
      <c r="AR13" s="37"/>
      <c r="AS13" s="92">
        <f>H13*AR13</f>
        <v>0</v>
      </c>
      <c r="AT13" s="47"/>
      <c r="AU13" s="93"/>
      <c r="AV13" s="94"/>
      <c r="AW13" s="72" t="s">
        <v>114</v>
      </c>
      <c r="AX13" s="66">
        <v>5000</v>
      </c>
      <c r="AY13" s="73">
        <v>420</v>
      </c>
      <c r="AZ13" s="9"/>
      <c r="BA13" s="9"/>
    </row>
    <row r="14" ht="50" customHeight="1" spans="1:53">
      <c r="A14" s="24"/>
      <c r="B14" s="20"/>
      <c r="C14" s="95"/>
      <c r="D14" s="7"/>
      <c r="E14" s="95"/>
      <c r="F14" s="23" t="s">
        <v>115</v>
      </c>
      <c r="G14" s="101" t="s">
        <v>116</v>
      </c>
      <c r="H14" s="84">
        <v>22</v>
      </c>
      <c r="I14" s="16">
        <v>24</v>
      </c>
      <c r="J14" s="85">
        <f t="shared" si="16"/>
        <v>24</v>
      </c>
      <c r="K14" s="86"/>
      <c r="L14" s="86"/>
      <c r="M14" s="87">
        <f t="shared" si="0"/>
        <v>0.0252631578947368</v>
      </c>
      <c r="N14" s="88" t="s">
        <v>80</v>
      </c>
      <c r="O14" s="88"/>
      <c r="P14" s="18">
        <f t="shared" si="13"/>
        <v>528</v>
      </c>
      <c r="Q14" s="89">
        <v>12</v>
      </c>
      <c r="R14" s="96"/>
      <c r="S14" s="96"/>
      <c r="T14" s="96"/>
      <c r="U14" s="105"/>
      <c r="V14" s="89">
        <v>12</v>
      </c>
      <c r="W14" s="96"/>
      <c r="X14" s="96"/>
      <c r="Y14" s="96"/>
      <c r="Z14" s="105"/>
      <c r="AA14" s="60">
        <f t="shared" si="1"/>
        <v>264</v>
      </c>
      <c r="AB14" s="60">
        <f t="shared" si="2"/>
        <v>0</v>
      </c>
      <c r="AC14" s="60">
        <f t="shared" si="3"/>
        <v>0</v>
      </c>
      <c r="AD14" s="60">
        <f t="shared" si="4"/>
        <v>0</v>
      </c>
      <c r="AE14" s="60">
        <f t="shared" si="5"/>
        <v>0</v>
      </c>
      <c r="AF14" s="60">
        <f t="shared" si="6"/>
        <v>264</v>
      </c>
      <c r="AG14" s="60">
        <f t="shared" si="7"/>
        <v>0</v>
      </c>
      <c r="AH14" s="60">
        <f t="shared" si="8"/>
        <v>0</v>
      </c>
      <c r="AI14" s="60">
        <f t="shared" si="9"/>
        <v>0</v>
      </c>
      <c r="AJ14" s="60">
        <f t="shared" si="10"/>
        <v>0</v>
      </c>
      <c r="AK14" s="90">
        <v>9</v>
      </c>
      <c r="AL14" s="28">
        <f t="shared" si="15"/>
        <v>3</v>
      </c>
      <c r="AM14" s="28">
        <f t="shared" si="11"/>
        <v>66</v>
      </c>
      <c r="AN14" s="28"/>
      <c r="AO14" s="28">
        <f t="shared" si="17"/>
        <v>0</v>
      </c>
      <c r="AP14" s="11"/>
      <c r="AQ14" s="104"/>
      <c r="AR14" s="37"/>
      <c r="AS14" s="92"/>
      <c r="AT14" s="47"/>
      <c r="AU14" s="93"/>
      <c r="AV14" s="94"/>
      <c r="AW14" s="106" t="s">
        <v>117</v>
      </c>
      <c r="AX14" s="107">
        <f>SUM(AX4:AX13)</f>
        <v>80000</v>
      </c>
      <c r="AY14" s="108">
        <f>SUM(AY5:AY13)</f>
        <v>3080</v>
      </c>
      <c r="AZ14" s="9"/>
      <c r="BA14" s="9"/>
    </row>
    <row r="15" ht="50" customHeight="1" spans="1:53">
      <c r="A15" s="24"/>
      <c r="B15" s="20" t="s">
        <v>67</v>
      </c>
      <c r="C15" s="95"/>
      <c r="D15" s="7">
        <v>9</v>
      </c>
      <c r="E15" s="100"/>
      <c r="F15" s="23" t="s">
        <v>118</v>
      </c>
      <c r="G15" s="101" t="s">
        <v>119</v>
      </c>
      <c r="H15" s="84">
        <v>16</v>
      </c>
      <c r="I15" s="16">
        <v>24</v>
      </c>
      <c r="J15" s="85">
        <f t="shared" si="16"/>
        <v>24</v>
      </c>
      <c r="K15" s="86"/>
      <c r="L15" s="86"/>
      <c r="M15" s="87">
        <f t="shared" si="0"/>
        <v>0.0252631578947368</v>
      </c>
      <c r="N15" s="88" t="s">
        <v>72</v>
      </c>
      <c r="O15" s="88"/>
      <c r="P15" s="18">
        <f t="shared" si="13"/>
        <v>384</v>
      </c>
      <c r="Q15" s="96"/>
      <c r="R15" s="96"/>
      <c r="S15" s="89">
        <v>12</v>
      </c>
      <c r="T15" s="96"/>
      <c r="U15" s="96"/>
      <c r="V15" s="89">
        <v>12</v>
      </c>
      <c r="W15" s="96"/>
      <c r="X15" s="96"/>
      <c r="Y15" s="96"/>
      <c r="Z15" s="96"/>
      <c r="AA15" s="60">
        <f t="shared" si="1"/>
        <v>0</v>
      </c>
      <c r="AB15" s="60">
        <f t="shared" si="2"/>
        <v>0</v>
      </c>
      <c r="AC15" s="60">
        <f t="shared" si="3"/>
        <v>192</v>
      </c>
      <c r="AD15" s="60">
        <f t="shared" si="4"/>
        <v>0</v>
      </c>
      <c r="AE15" s="60">
        <f t="shared" si="5"/>
        <v>0</v>
      </c>
      <c r="AF15" s="60">
        <f t="shared" si="6"/>
        <v>192</v>
      </c>
      <c r="AG15" s="60">
        <f t="shared" si="7"/>
        <v>0</v>
      </c>
      <c r="AH15" s="60">
        <f t="shared" si="8"/>
        <v>0</v>
      </c>
      <c r="AI15" s="60">
        <f t="shared" si="9"/>
        <v>0</v>
      </c>
      <c r="AJ15" s="60">
        <f t="shared" si="10"/>
        <v>0</v>
      </c>
      <c r="AK15" s="90">
        <v>12</v>
      </c>
      <c r="AL15" s="28">
        <f t="shared" si="15"/>
        <v>0</v>
      </c>
      <c r="AM15" s="28">
        <f t="shared" si="11"/>
        <v>0</v>
      </c>
      <c r="AN15" s="28"/>
      <c r="AO15" s="28">
        <f t="shared" si="17"/>
        <v>0</v>
      </c>
      <c r="AP15" s="7" t="s">
        <v>107</v>
      </c>
      <c r="AQ15" s="109"/>
      <c r="AR15" s="37"/>
      <c r="AS15" s="92">
        <f t="shared" ref="AS15:AS24" si="18">H15*AR15</f>
        <v>0</v>
      </c>
      <c r="AT15" s="47"/>
      <c r="AU15" s="93"/>
      <c r="AV15" s="93"/>
      <c r="AW15" s="110"/>
      <c r="AX15" s="111"/>
      <c r="AY15" s="112"/>
      <c r="AZ15" s="9"/>
      <c r="BA15" s="9"/>
    </row>
    <row r="16" ht="50" customHeight="1" spans="1:53">
      <c r="A16" s="24"/>
      <c r="B16" s="20" t="s">
        <v>99</v>
      </c>
      <c r="C16" s="95"/>
      <c r="D16" s="7">
        <v>10</v>
      </c>
      <c r="E16" s="113" t="s">
        <v>120</v>
      </c>
      <c r="F16" s="23" t="s">
        <v>121</v>
      </c>
      <c r="G16" s="101" t="s">
        <v>122</v>
      </c>
      <c r="H16" s="84">
        <v>9</v>
      </c>
      <c r="I16" s="16">
        <v>8</v>
      </c>
      <c r="J16" s="85">
        <f t="shared" si="16"/>
        <v>36</v>
      </c>
      <c r="K16" s="86"/>
      <c r="L16" s="86"/>
      <c r="M16" s="87">
        <f t="shared" si="0"/>
        <v>0.0378947368421053</v>
      </c>
      <c r="N16" s="88" t="s">
        <v>72</v>
      </c>
      <c r="O16" s="88"/>
      <c r="P16" s="18">
        <f t="shared" si="13"/>
        <v>324</v>
      </c>
      <c r="Q16" s="96"/>
      <c r="R16" s="89">
        <v>24</v>
      </c>
      <c r="S16" s="96"/>
      <c r="T16" s="96"/>
      <c r="U16" s="96"/>
      <c r="V16" s="89">
        <v>12</v>
      </c>
      <c r="W16" s="96"/>
      <c r="X16" s="96"/>
      <c r="Y16" s="96"/>
      <c r="Z16" s="96"/>
      <c r="AA16" s="60">
        <f t="shared" si="1"/>
        <v>0</v>
      </c>
      <c r="AB16" s="60">
        <f t="shared" si="2"/>
        <v>216</v>
      </c>
      <c r="AC16" s="60">
        <f t="shared" si="3"/>
        <v>0</v>
      </c>
      <c r="AD16" s="60">
        <f t="shared" si="4"/>
        <v>0</v>
      </c>
      <c r="AE16" s="60">
        <f t="shared" si="5"/>
        <v>0</v>
      </c>
      <c r="AF16" s="60">
        <f t="shared" si="6"/>
        <v>108</v>
      </c>
      <c r="AG16" s="60">
        <f t="shared" si="7"/>
        <v>0</v>
      </c>
      <c r="AH16" s="60">
        <f t="shared" si="8"/>
        <v>0</v>
      </c>
      <c r="AI16" s="60">
        <f t="shared" si="9"/>
        <v>0</v>
      </c>
      <c r="AJ16" s="60">
        <f t="shared" si="10"/>
        <v>0</v>
      </c>
      <c r="AK16" s="90">
        <v>10</v>
      </c>
      <c r="AL16" s="28">
        <f t="shared" si="15"/>
        <v>14</v>
      </c>
      <c r="AM16" s="28">
        <f t="shared" si="11"/>
        <v>126</v>
      </c>
      <c r="AN16" s="28"/>
      <c r="AO16" s="28">
        <f t="shared" si="17"/>
        <v>0</v>
      </c>
      <c r="AP16" s="7"/>
      <c r="AQ16" s="103" t="s">
        <v>123</v>
      </c>
      <c r="AR16" s="37"/>
      <c r="AS16" s="92">
        <f t="shared" si="18"/>
        <v>0</v>
      </c>
      <c r="AT16" s="47"/>
      <c r="AU16" s="93" t="s">
        <v>76</v>
      </c>
      <c r="AV16" s="93" t="s">
        <v>76</v>
      </c>
      <c r="AW16" s="114"/>
      <c r="AX16" s="115"/>
      <c r="AY16" s="73"/>
      <c r="AZ16" s="9"/>
      <c r="BA16" s="9"/>
    </row>
    <row r="17" ht="50" customHeight="1" spans="1:53">
      <c r="A17" s="24"/>
      <c r="B17" s="20" t="s">
        <v>99</v>
      </c>
      <c r="C17" s="95"/>
      <c r="D17" s="7">
        <v>11</v>
      </c>
      <c r="E17" s="113"/>
      <c r="F17" s="23" t="s">
        <v>124</v>
      </c>
      <c r="G17" s="101" t="s">
        <v>125</v>
      </c>
      <c r="H17" s="84">
        <v>9</v>
      </c>
      <c r="I17" s="16">
        <v>8</v>
      </c>
      <c r="J17" s="85">
        <f t="shared" si="16"/>
        <v>36</v>
      </c>
      <c r="K17" s="86"/>
      <c r="L17" s="86"/>
      <c r="M17" s="87">
        <f t="shared" ref="M17:M22" si="19">(J17-AN17)/$I$3</f>
        <v>0.0378947368421053</v>
      </c>
      <c r="N17" s="88" t="s">
        <v>72</v>
      </c>
      <c r="O17" s="88"/>
      <c r="P17" s="18">
        <f t="shared" ref="P17:P22" si="20">H17*J17</f>
        <v>324</v>
      </c>
      <c r="Q17" s="96"/>
      <c r="R17" s="89">
        <v>24</v>
      </c>
      <c r="S17" s="96"/>
      <c r="T17" s="96"/>
      <c r="U17" s="96"/>
      <c r="V17" s="89">
        <v>12</v>
      </c>
      <c r="W17" s="96"/>
      <c r="X17" s="96"/>
      <c r="Y17" s="96"/>
      <c r="Z17" s="96"/>
      <c r="AA17" s="60">
        <f t="shared" si="1"/>
        <v>0</v>
      </c>
      <c r="AB17" s="60">
        <f t="shared" si="2"/>
        <v>216</v>
      </c>
      <c r="AC17" s="60">
        <f t="shared" si="3"/>
        <v>0</v>
      </c>
      <c r="AD17" s="60">
        <f t="shared" si="4"/>
        <v>0</v>
      </c>
      <c r="AE17" s="60">
        <f t="shared" si="5"/>
        <v>0</v>
      </c>
      <c r="AF17" s="60">
        <f t="shared" si="6"/>
        <v>108</v>
      </c>
      <c r="AG17" s="60">
        <f t="shared" si="7"/>
        <v>0</v>
      </c>
      <c r="AH17" s="60">
        <f t="shared" si="8"/>
        <v>0</v>
      </c>
      <c r="AI17" s="60">
        <f t="shared" si="9"/>
        <v>0</v>
      </c>
      <c r="AJ17" s="60">
        <f t="shared" si="10"/>
        <v>0</v>
      </c>
      <c r="AK17" s="90">
        <v>10</v>
      </c>
      <c r="AL17" s="28">
        <f t="shared" si="15"/>
        <v>14</v>
      </c>
      <c r="AM17" s="28">
        <f t="shared" si="11"/>
        <v>126</v>
      </c>
      <c r="AN17" s="28"/>
      <c r="AO17" s="28">
        <f t="shared" si="17"/>
        <v>0</v>
      </c>
      <c r="AP17" s="7"/>
      <c r="AQ17" s="116"/>
      <c r="AR17" s="37"/>
      <c r="AS17" s="92">
        <f t="shared" si="18"/>
        <v>0</v>
      </c>
      <c r="AT17" s="47"/>
      <c r="AU17" s="93"/>
      <c r="AV17" s="93"/>
      <c r="AW17" s="117"/>
      <c r="AX17" s="118"/>
      <c r="AY17" s="119"/>
    </row>
    <row r="18" ht="50" customHeight="1" spans="1:53">
      <c r="A18" s="24"/>
      <c r="B18" s="20" t="s">
        <v>126</v>
      </c>
      <c r="C18" s="95"/>
      <c r="D18" s="7">
        <v>12</v>
      </c>
      <c r="E18" s="113"/>
      <c r="F18" s="23" t="s">
        <v>127</v>
      </c>
      <c r="G18" s="101" t="s">
        <v>128</v>
      </c>
      <c r="H18" s="84">
        <v>10</v>
      </c>
      <c r="I18" s="16">
        <v>8</v>
      </c>
      <c r="J18" s="85">
        <f t="shared" si="16"/>
        <v>12</v>
      </c>
      <c r="K18" s="86"/>
      <c r="L18" s="86"/>
      <c r="M18" s="87">
        <f t="shared" si="19"/>
        <v>0.0126315789473684</v>
      </c>
      <c r="N18" s="88" t="s">
        <v>72</v>
      </c>
      <c r="O18" s="88"/>
      <c r="P18" s="18">
        <f t="shared" si="20"/>
        <v>120</v>
      </c>
      <c r="Q18" s="96"/>
      <c r="R18" s="89">
        <v>12</v>
      </c>
      <c r="S18" s="96"/>
      <c r="T18" s="96"/>
      <c r="U18" s="96"/>
      <c r="V18" s="96"/>
      <c r="W18" s="96"/>
      <c r="X18" s="96"/>
      <c r="Y18" s="96"/>
      <c r="Z18" s="96"/>
      <c r="AA18" s="60">
        <f t="shared" si="1"/>
        <v>0</v>
      </c>
      <c r="AB18" s="60">
        <f t="shared" si="2"/>
        <v>120</v>
      </c>
      <c r="AC18" s="60">
        <f t="shared" si="3"/>
        <v>0</v>
      </c>
      <c r="AD18" s="60">
        <f t="shared" si="4"/>
        <v>0</v>
      </c>
      <c r="AE18" s="60">
        <f t="shared" si="5"/>
        <v>0</v>
      </c>
      <c r="AF18" s="60">
        <f t="shared" si="6"/>
        <v>0</v>
      </c>
      <c r="AG18" s="60">
        <f t="shared" si="7"/>
        <v>0</v>
      </c>
      <c r="AH18" s="60">
        <f t="shared" si="8"/>
        <v>0</v>
      </c>
      <c r="AI18" s="60">
        <f t="shared" si="9"/>
        <v>0</v>
      </c>
      <c r="AJ18" s="60">
        <f t="shared" si="10"/>
        <v>0</v>
      </c>
      <c r="AK18" s="90">
        <v>10</v>
      </c>
      <c r="AL18" s="28">
        <f t="shared" si="15"/>
        <v>2</v>
      </c>
      <c r="AM18" s="28">
        <f t="shared" si="11"/>
        <v>20</v>
      </c>
      <c r="AN18" s="28"/>
      <c r="AO18" s="28">
        <f t="shared" si="17"/>
        <v>0</v>
      </c>
      <c r="AP18" s="7" t="s">
        <v>129</v>
      </c>
      <c r="AQ18" s="116"/>
      <c r="AR18" s="37"/>
      <c r="AS18" s="92">
        <f t="shared" si="18"/>
        <v>0</v>
      </c>
      <c r="AT18" s="47"/>
      <c r="AU18" s="93"/>
      <c r="AV18" s="93"/>
      <c r="AZ18" s="9"/>
      <c r="BA18" s="9"/>
    </row>
    <row r="19" ht="50" customHeight="1" spans="1:53">
      <c r="A19" s="29"/>
      <c r="B19" s="30" t="s">
        <v>130</v>
      </c>
      <c r="C19" s="95"/>
      <c r="D19" s="7">
        <v>16</v>
      </c>
      <c r="E19" s="113"/>
      <c r="F19" s="28" t="s">
        <v>131</v>
      </c>
      <c r="G19" s="46" t="s">
        <v>132</v>
      </c>
      <c r="H19" s="84">
        <v>10</v>
      </c>
      <c r="I19" s="16">
        <v>8</v>
      </c>
      <c r="J19" s="85">
        <f t="shared" si="16"/>
        <v>24</v>
      </c>
      <c r="K19" s="86"/>
      <c r="L19" s="86"/>
      <c r="M19" s="87">
        <f t="shared" si="19"/>
        <v>0.0252631578947368</v>
      </c>
      <c r="N19" s="88" t="s">
        <v>72</v>
      </c>
      <c r="O19" s="88"/>
      <c r="P19" s="18">
        <f t="shared" si="20"/>
        <v>240</v>
      </c>
      <c r="Q19" s="120"/>
      <c r="R19" s="89">
        <v>24</v>
      </c>
      <c r="S19" s="96"/>
      <c r="T19" s="96"/>
      <c r="U19" s="105"/>
      <c r="V19" s="105"/>
      <c r="W19" s="105"/>
      <c r="X19" s="105"/>
      <c r="Y19" s="96"/>
      <c r="Z19" s="105"/>
      <c r="AA19" s="60">
        <f t="shared" si="1"/>
        <v>0</v>
      </c>
      <c r="AB19" s="60">
        <f t="shared" si="2"/>
        <v>240</v>
      </c>
      <c r="AC19" s="60">
        <f t="shared" si="3"/>
        <v>0</v>
      </c>
      <c r="AD19" s="60">
        <f t="shared" si="4"/>
        <v>0</v>
      </c>
      <c r="AE19" s="60">
        <f t="shared" si="5"/>
        <v>0</v>
      </c>
      <c r="AF19" s="60">
        <f t="shared" si="6"/>
        <v>0</v>
      </c>
      <c r="AG19" s="60">
        <f t="shared" si="7"/>
        <v>0</v>
      </c>
      <c r="AH19" s="60">
        <f t="shared" si="8"/>
        <v>0</v>
      </c>
      <c r="AI19" s="60">
        <f t="shared" si="9"/>
        <v>0</v>
      </c>
      <c r="AJ19" s="60">
        <f t="shared" si="10"/>
        <v>0</v>
      </c>
      <c r="AK19" s="90">
        <v>10</v>
      </c>
      <c r="AL19" s="28">
        <f t="shared" si="15"/>
        <v>14</v>
      </c>
      <c r="AM19" s="28">
        <f t="shared" si="11"/>
        <v>140</v>
      </c>
      <c r="AN19" s="28"/>
      <c r="AO19" s="28">
        <f t="shared" si="17"/>
        <v>0</v>
      </c>
      <c r="AP19" s="11"/>
      <c r="AQ19" s="116"/>
      <c r="AR19" s="37"/>
      <c r="AS19" s="92">
        <f t="shared" si="18"/>
        <v>0</v>
      </c>
      <c r="AT19" s="47"/>
      <c r="AU19" s="93"/>
      <c r="AV19" s="93"/>
      <c r="AW19" s="121"/>
      <c r="AX19" s="122"/>
    </row>
    <row r="20" ht="50" customHeight="1" spans="1:53">
      <c r="A20" s="29"/>
      <c r="B20" s="20" t="s">
        <v>126</v>
      </c>
      <c r="C20" s="95"/>
      <c r="D20" s="7">
        <v>17</v>
      </c>
      <c r="E20" s="113"/>
      <c r="F20" s="28" t="s">
        <v>133</v>
      </c>
      <c r="G20" s="46" t="s">
        <v>134</v>
      </c>
      <c r="H20" s="84">
        <v>10</v>
      </c>
      <c r="I20" s="16">
        <v>8</v>
      </c>
      <c r="J20" s="85">
        <f t="shared" ref="J20:J22" si="21">SUM(Q20:Z20)</f>
        <v>24</v>
      </c>
      <c r="K20" s="86"/>
      <c r="L20" s="86"/>
      <c r="M20" s="87">
        <f t="shared" si="19"/>
        <v>0.0252631578947368</v>
      </c>
      <c r="N20" s="88" t="s">
        <v>72</v>
      </c>
      <c r="O20" s="88"/>
      <c r="P20" s="18">
        <f t="shared" si="20"/>
        <v>240</v>
      </c>
      <c r="Q20" s="120"/>
      <c r="R20" s="89">
        <v>24</v>
      </c>
      <c r="S20" s="96"/>
      <c r="T20" s="96"/>
      <c r="U20" s="105"/>
      <c r="V20" s="105"/>
      <c r="W20" s="123"/>
      <c r="X20" s="105"/>
      <c r="Y20" s="105"/>
      <c r="Z20" s="105"/>
      <c r="AA20" s="60">
        <f t="shared" si="1"/>
        <v>0</v>
      </c>
      <c r="AB20" s="60">
        <f t="shared" si="2"/>
        <v>240</v>
      </c>
      <c r="AC20" s="60">
        <f t="shared" si="3"/>
        <v>0</v>
      </c>
      <c r="AD20" s="60">
        <f t="shared" si="4"/>
        <v>0</v>
      </c>
      <c r="AE20" s="60">
        <f t="shared" si="5"/>
        <v>0</v>
      </c>
      <c r="AF20" s="60">
        <f t="shared" si="6"/>
        <v>0</v>
      </c>
      <c r="AG20" s="60">
        <f t="shared" si="7"/>
        <v>0</v>
      </c>
      <c r="AH20" s="60">
        <f t="shared" si="8"/>
        <v>0</v>
      </c>
      <c r="AI20" s="60">
        <f t="shared" si="9"/>
        <v>0</v>
      </c>
      <c r="AJ20" s="60">
        <f t="shared" si="10"/>
        <v>0</v>
      </c>
      <c r="AK20" s="90">
        <v>10</v>
      </c>
      <c r="AL20" s="28">
        <f t="shared" si="15"/>
        <v>14</v>
      </c>
      <c r="AM20" s="28">
        <f t="shared" si="11"/>
        <v>140</v>
      </c>
      <c r="AN20" s="28"/>
      <c r="AO20" s="28">
        <f t="shared" si="17"/>
        <v>0</v>
      </c>
      <c r="AP20" s="7"/>
      <c r="AQ20" s="116"/>
      <c r="AR20" s="37"/>
      <c r="AS20" s="92">
        <f t="shared" si="18"/>
        <v>0</v>
      </c>
      <c r="AT20" s="47"/>
      <c r="AU20" s="93"/>
      <c r="AV20" s="93"/>
      <c r="AW20" s="121"/>
      <c r="AX20" s="122"/>
    </row>
    <row r="21" ht="50" customHeight="1" spans="1:53">
      <c r="A21" s="29"/>
      <c r="B21" s="20" t="s">
        <v>135</v>
      </c>
      <c r="C21" s="95"/>
      <c r="D21" s="7">
        <v>21</v>
      </c>
      <c r="E21" s="113"/>
      <c r="F21" s="28" t="s">
        <v>136</v>
      </c>
      <c r="G21" s="46" t="s">
        <v>137</v>
      </c>
      <c r="H21" s="84">
        <v>12</v>
      </c>
      <c r="I21" s="16">
        <v>8</v>
      </c>
      <c r="J21" s="85">
        <f t="shared" si="21"/>
        <v>24</v>
      </c>
      <c r="K21" s="20"/>
      <c r="L21" s="20"/>
      <c r="M21" s="87">
        <f t="shared" si="19"/>
        <v>0.0252631578947368</v>
      </c>
      <c r="N21" s="88" t="s">
        <v>80</v>
      </c>
      <c r="O21" s="102"/>
      <c r="P21" s="18">
        <f t="shared" si="20"/>
        <v>288</v>
      </c>
      <c r="Q21" s="120"/>
      <c r="R21" s="89">
        <v>24</v>
      </c>
      <c r="S21" s="96"/>
      <c r="T21" s="96"/>
      <c r="U21" s="96"/>
      <c r="V21" s="96"/>
      <c r="W21" s="96"/>
      <c r="X21" s="96"/>
      <c r="Y21" s="96"/>
      <c r="Z21" s="96"/>
      <c r="AA21" s="60">
        <f t="shared" si="1"/>
        <v>0</v>
      </c>
      <c r="AB21" s="60">
        <f t="shared" si="2"/>
        <v>288</v>
      </c>
      <c r="AC21" s="60">
        <f t="shared" si="3"/>
        <v>0</v>
      </c>
      <c r="AD21" s="60">
        <f t="shared" si="4"/>
        <v>0</v>
      </c>
      <c r="AE21" s="60">
        <f t="shared" si="5"/>
        <v>0</v>
      </c>
      <c r="AF21" s="60">
        <f t="shared" si="6"/>
        <v>0</v>
      </c>
      <c r="AG21" s="60">
        <f t="shared" si="7"/>
        <v>0</v>
      </c>
      <c r="AH21" s="60">
        <f t="shared" si="8"/>
        <v>0</v>
      </c>
      <c r="AI21" s="60">
        <f>H21*V21</f>
        <v>0</v>
      </c>
      <c r="AJ21" s="60">
        <f t="shared" si="10"/>
        <v>0</v>
      </c>
      <c r="AK21" s="90">
        <v>6</v>
      </c>
      <c r="AL21" s="28">
        <f t="shared" si="15"/>
        <v>18</v>
      </c>
      <c r="AM21" s="28">
        <f t="shared" si="11"/>
        <v>216</v>
      </c>
      <c r="AN21" s="28"/>
      <c r="AO21" s="28">
        <f t="shared" si="17"/>
        <v>0</v>
      </c>
      <c r="AP21" s="7"/>
      <c r="AQ21" s="116"/>
      <c r="AR21" s="37">
        <v>10</v>
      </c>
      <c r="AS21" s="92">
        <f t="shared" si="18"/>
        <v>120</v>
      </c>
      <c r="AT21" s="47"/>
      <c r="AU21" s="93"/>
      <c r="AV21" s="93"/>
    </row>
    <row r="22" ht="50" customHeight="1" spans="1:53">
      <c r="A22" s="7"/>
      <c r="B22" s="7"/>
      <c r="C22" s="95"/>
      <c r="D22" s="7"/>
      <c r="E22" s="124"/>
      <c r="F22" s="18" t="s">
        <v>138</v>
      </c>
      <c r="G22" s="46" t="s">
        <v>139</v>
      </c>
      <c r="H22" s="125">
        <v>9.9</v>
      </c>
      <c r="I22" s="16">
        <v>8</v>
      </c>
      <c r="J22" s="85">
        <f t="shared" si="21"/>
        <v>48</v>
      </c>
      <c r="K22" s="20"/>
      <c r="L22" s="20"/>
      <c r="M22" s="87">
        <f t="shared" si="19"/>
        <v>0.0505263157894737</v>
      </c>
      <c r="N22" s="88" t="s">
        <v>80</v>
      </c>
      <c r="O22" s="102"/>
      <c r="P22" s="18">
        <f t="shared" si="20"/>
        <v>475.2</v>
      </c>
      <c r="Q22" s="96"/>
      <c r="R22" s="89">
        <v>36</v>
      </c>
      <c r="S22" s="96"/>
      <c r="T22" s="96"/>
      <c r="U22" s="96"/>
      <c r="V22" s="96"/>
      <c r="W22" s="96"/>
      <c r="X22" s="96"/>
      <c r="Y22" s="89">
        <v>12</v>
      </c>
      <c r="Z22" s="96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90"/>
      <c r="AL22" s="28"/>
      <c r="AM22" s="28"/>
      <c r="AN22" s="28"/>
      <c r="AO22" s="28"/>
      <c r="AP22" s="7"/>
      <c r="AQ22" s="104"/>
      <c r="AR22" s="37"/>
      <c r="AS22" s="92"/>
      <c r="AT22" s="47"/>
      <c r="AU22" s="126"/>
      <c r="AV22" s="126"/>
    </row>
    <row r="23" ht="50" customHeight="1" spans="1:53">
      <c r="A23" s="7"/>
      <c r="B23" s="7"/>
      <c r="C23" s="7"/>
      <c r="D23" s="7">
        <v>25</v>
      </c>
      <c r="E23" s="82" t="s">
        <v>140</v>
      </c>
      <c r="F23" s="18" t="s">
        <v>141</v>
      </c>
      <c r="G23" s="46" t="s">
        <v>142</v>
      </c>
      <c r="H23" s="125">
        <v>23</v>
      </c>
      <c r="I23" s="16">
        <v>8</v>
      </c>
      <c r="J23" s="85">
        <f t="shared" ref="J23:J33" si="22">SUM(Q23:Z23)</f>
        <v>18</v>
      </c>
      <c r="K23" s="20"/>
      <c r="L23" s="20"/>
      <c r="M23" s="87">
        <f t="shared" ref="M23:M34" si="23">(J23-AN23)/$I$3</f>
        <v>0.0189473684210526</v>
      </c>
      <c r="N23" s="88" t="s">
        <v>80</v>
      </c>
      <c r="O23" s="102"/>
      <c r="P23" s="18">
        <f t="shared" ref="P23:P34" si="24">H23*J23</f>
        <v>414</v>
      </c>
      <c r="Q23" s="96"/>
      <c r="R23" s="89">
        <v>12</v>
      </c>
      <c r="S23" s="96"/>
      <c r="T23" s="96"/>
      <c r="U23" s="96"/>
      <c r="V23" s="96"/>
      <c r="W23" s="96"/>
      <c r="X23" s="96"/>
      <c r="Y23" s="89">
        <v>6</v>
      </c>
      <c r="Z23" s="96"/>
      <c r="AA23" s="60">
        <f t="shared" ref="AA23:AA49" si="25">H23*Q23</f>
        <v>0</v>
      </c>
      <c r="AB23" s="60">
        <f t="shared" ref="AB23:AB49" si="26">H23*R23</f>
        <v>276</v>
      </c>
      <c r="AC23" s="60">
        <f t="shared" ref="AC23:AC49" si="27">H23*S23</f>
        <v>0</v>
      </c>
      <c r="AD23" s="60">
        <f t="shared" ref="AD23:AD49" si="28">H23*T23</f>
        <v>0</v>
      </c>
      <c r="AE23" s="60">
        <f t="shared" ref="AE23:AE49" si="29">H23*U23</f>
        <v>0</v>
      </c>
      <c r="AF23" s="60">
        <f t="shared" ref="AF23:AF49" si="30">H23*V23</f>
        <v>0</v>
      </c>
      <c r="AG23" s="60">
        <f t="shared" ref="AG23:AG49" si="31">H23*W23</f>
        <v>0</v>
      </c>
      <c r="AH23" s="60">
        <f t="shared" ref="AH23:AH49" si="32">H23*X23</f>
        <v>0</v>
      </c>
      <c r="AI23" s="60">
        <f t="shared" ref="AI23:AI49" si="33">H23*Y23</f>
        <v>138</v>
      </c>
      <c r="AJ23" s="60">
        <f t="shared" ref="AJ23:AJ49" si="34">H23*Z23</f>
        <v>0</v>
      </c>
      <c r="AK23" s="90">
        <v>6</v>
      </c>
      <c r="AL23" s="28">
        <f>IF(Q23+R23-AK23&gt;0,Q23+R23-AK23,0)</f>
        <v>6</v>
      </c>
      <c r="AM23" s="28">
        <f>AL23*H23</f>
        <v>138</v>
      </c>
      <c r="AN23" s="28"/>
      <c r="AO23" s="28">
        <f>AN23*H23</f>
        <v>0</v>
      </c>
      <c r="AP23" s="7" t="s">
        <v>143</v>
      </c>
      <c r="AQ23" s="103" t="s">
        <v>144</v>
      </c>
      <c r="AR23" s="37">
        <v>12</v>
      </c>
      <c r="AS23" s="92">
        <f>H23*AR23</f>
        <v>276</v>
      </c>
      <c r="AT23" s="47"/>
      <c r="AU23" s="126" t="s">
        <v>89</v>
      </c>
      <c r="AV23" s="126" t="s">
        <v>145</v>
      </c>
    </row>
    <row r="24" ht="50" customHeight="1" spans="1:53">
      <c r="A24" s="7"/>
      <c r="B24" s="7"/>
      <c r="C24" s="7"/>
      <c r="D24" s="7">
        <v>26</v>
      </c>
      <c r="E24" s="95"/>
      <c r="F24" s="28" t="s">
        <v>146</v>
      </c>
      <c r="G24" s="46" t="s">
        <v>147</v>
      </c>
      <c r="H24" s="125">
        <v>25</v>
      </c>
      <c r="I24" s="16">
        <v>8</v>
      </c>
      <c r="J24" s="85">
        <f t="shared" si="22"/>
        <v>12</v>
      </c>
      <c r="K24" s="20"/>
      <c r="L24" s="20"/>
      <c r="M24" s="87">
        <f t="shared" si="23"/>
        <v>0.0126315789473684</v>
      </c>
      <c r="N24" s="88" t="s">
        <v>80</v>
      </c>
      <c r="O24" s="102"/>
      <c r="P24" s="18">
        <f t="shared" si="24"/>
        <v>300</v>
      </c>
      <c r="Q24" s="96"/>
      <c r="R24" s="89">
        <v>6</v>
      </c>
      <c r="S24" s="96"/>
      <c r="T24" s="96"/>
      <c r="U24" s="96"/>
      <c r="V24" s="96"/>
      <c r="W24" s="96"/>
      <c r="X24" s="96"/>
      <c r="Y24" s="89">
        <v>6</v>
      </c>
      <c r="Z24" s="96"/>
      <c r="AA24" s="60">
        <f t="shared" si="25"/>
        <v>0</v>
      </c>
      <c r="AB24" s="60">
        <f t="shared" si="26"/>
        <v>150</v>
      </c>
      <c r="AC24" s="60">
        <f t="shared" si="27"/>
        <v>0</v>
      </c>
      <c r="AD24" s="60">
        <f t="shared" si="28"/>
        <v>0</v>
      </c>
      <c r="AE24" s="60">
        <f t="shared" si="29"/>
        <v>0</v>
      </c>
      <c r="AF24" s="60">
        <f t="shared" si="30"/>
        <v>0</v>
      </c>
      <c r="AG24" s="60">
        <f t="shared" si="31"/>
        <v>0</v>
      </c>
      <c r="AH24" s="60">
        <f t="shared" si="32"/>
        <v>0</v>
      </c>
      <c r="AI24" s="60">
        <f t="shared" si="33"/>
        <v>150</v>
      </c>
      <c r="AJ24" s="60">
        <f t="shared" si="34"/>
        <v>0</v>
      </c>
      <c r="AK24" s="90">
        <v>3</v>
      </c>
      <c r="AL24" s="28">
        <f>IF(Q24+R24-AK24&gt;0,Q24+R24-AK24,0)</f>
        <v>3</v>
      </c>
      <c r="AM24" s="28">
        <f>AL24*H24</f>
        <v>75</v>
      </c>
      <c r="AN24" s="28"/>
      <c r="AO24" s="28">
        <f>AN24*H24</f>
        <v>0</v>
      </c>
      <c r="AP24" s="7"/>
      <c r="AQ24" s="104"/>
      <c r="AR24" s="37"/>
      <c r="AS24" s="92">
        <f>H24*AR24</f>
        <v>0</v>
      </c>
      <c r="AT24" s="47"/>
      <c r="AU24" s="126"/>
      <c r="AV24" s="126"/>
    </row>
    <row r="25" ht="50" customHeight="1" spans="1:53">
      <c r="A25" s="7" t="s">
        <v>148</v>
      </c>
      <c r="B25" s="20" t="s">
        <v>149</v>
      </c>
      <c r="C25" s="20"/>
      <c r="D25" s="7">
        <v>27</v>
      </c>
      <c r="E25" s="95"/>
      <c r="F25" s="28" t="s">
        <v>150</v>
      </c>
      <c r="G25" s="46" t="s">
        <v>151</v>
      </c>
      <c r="H25" s="84">
        <v>23</v>
      </c>
      <c r="I25" s="16">
        <v>8</v>
      </c>
      <c r="J25" s="85">
        <f t="shared" si="22"/>
        <v>12</v>
      </c>
      <c r="K25" s="20"/>
      <c r="L25" s="20"/>
      <c r="M25" s="87">
        <f t="shared" si="23"/>
        <v>0.0126315789473684</v>
      </c>
      <c r="N25" s="88" t="s">
        <v>80</v>
      </c>
      <c r="O25" s="102"/>
      <c r="P25" s="18">
        <f t="shared" si="24"/>
        <v>276</v>
      </c>
      <c r="Q25" s="96"/>
      <c r="R25" s="89">
        <v>6</v>
      </c>
      <c r="S25" s="96"/>
      <c r="T25" s="96"/>
      <c r="U25" s="96"/>
      <c r="V25" s="96"/>
      <c r="W25" s="96"/>
      <c r="X25" s="96"/>
      <c r="Y25" s="89">
        <v>6</v>
      </c>
      <c r="Z25" s="96"/>
      <c r="AA25" s="60">
        <f t="shared" si="25"/>
        <v>0</v>
      </c>
      <c r="AB25" s="60">
        <f t="shared" si="26"/>
        <v>138</v>
      </c>
      <c r="AC25" s="60">
        <f t="shared" si="27"/>
        <v>0</v>
      </c>
      <c r="AD25" s="60">
        <f t="shared" si="28"/>
        <v>0</v>
      </c>
      <c r="AE25" s="60">
        <f t="shared" si="29"/>
        <v>0</v>
      </c>
      <c r="AF25" s="60">
        <f t="shared" si="30"/>
        <v>0</v>
      </c>
      <c r="AG25" s="60">
        <f t="shared" si="31"/>
        <v>0</v>
      </c>
      <c r="AH25" s="60">
        <f t="shared" si="32"/>
        <v>0</v>
      </c>
      <c r="AI25" s="60">
        <f t="shared" si="33"/>
        <v>138</v>
      </c>
      <c r="AJ25" s="60">
        <f t="shared" si="34"/>
        <v>0</v>
      </c>
      <c r="AK25" s="90">
        <v>3</v>
      </c>
      <c r="AL25" s="28">
        <f>IF(Q25+R25-AK25&gt;0,Q25+R25-AK25,0)</f>
        <v>3</v>
      </c>
      <c r="AM25" s="28">
        <f>AL25*H25</f>
        <v>69</v>
      </c>
      <c r="AN25" s="28"/>
      <c r="AO25" s="28">
        <f>AN25*H25</f>
        <v>0</v>
      </c>
      <c r="AP25" s="7"/>
      <c r="AQ25" s="104"/>
      <c r="AR25" s="37"/>
      <c r="AS25" s="92">
        <f>H25*AR25</f>
        <v>0</v>
      </c>
      <c r="AT25" s="47"/>
      <c r="AU25" s="126"/>
      <c r="AV25" s="126"/>
    </row>
    <row r="26" ht="50" customHeight="1" spans="1:53">
      <c r="A26" s="7"/>
      <c r="B26" s="20" t="s">
        <v>152</v>
      </c>
      <c r="C26" s="20"/>
      <c r="D26" s="7">
        <v>29</v>
      </c>
      <c r="E26" s="95"/>
      <c r="F26" s="28" t="s">
        <v>153</v>
      </c>
      <c r="G26" s="46" t="s">
        <v>154</v>
      </c>
      <c r="H26" s="84">
        <v>13</v>
      </c>
      <c r="I26" s="16">
        <v>8</v>
      </c>
      <c r="J26" s="85">
        <f t="shared" si="22"/>
        <v>16</v>
      </c>
      <c r="K26" s="20"/>
      <c r="L26" s="20"/>
      <c r="M26" s="87">
        <f t="shared" si="23"/>
        <v>0.0168421052631579</v>
      </c>
      <c r="N26" s="102" t="s">
        <v>72</v>
      </c>
      <c r="O26" s="102"/>
      <c r="P26" s="18">
        <f t="shared" si="24"/>
        <v>208</v>
      </c>
      <c r="Q26" s="96"/>
      <c r="R26" s="89">
        <v>8</v>
      </c>
      <c r="S26" s="96"/>
      <c r="T26" s="96"/>
      <c r="U26" s="96"/>
      <c r="V26" s="89">
        <v>8</v>
      </c>
      <c r="W26" s="96"/>
      <c r="X26" s="96"/>
      <c r="Y26" s="96"/>
      <c r="Z26" s="96"/>
      <c r="AA26" s="60">
        <f t="shared" si="25"/>
        <v>0</v>
      </c>
      <c r="AB26" s="60">
        <f t="shared" si="26"/>
        <v>104</v>
      </c>
      <c r="AC26" s="60">
        <f t="shared" si="27"/>
        <v>0</v>
      </c>
      <c r="AD26" s="60">
        <f t="shared" si="28"/>
        <v>0</v>
      </c>
      <c r="AE26" s="60">
        <f t="shared" si="29"/>
        <v>0</v>
      </c>
      <c r="AF26" s="60">
        <f t="shared" si="30"/>
        <v>104</v>
      </c>
      <c r="AG26" s="60">
        <f t="shared" si="31"/>
        <v>0</v>
      </c>
      <c r="AH26" s="60">
        <f t="shared" si="32"/>
        <v>0</v>
      </c>
      <c r="AI26" s="60">
        <f t="shared" si="33"/>
        <v>0</v>
      </c>
      <c r="AJ26" s="60">
        <f t="shared" si="34"/>
        <v>0</v>
      </c>
      <c r="AK26" s="90">
        <v>4</v>
      </c>
      <c r="AL26" s="28">
        <f t="shared" ref="AL26:AL37" si="35">IF(Q26+R26-AK26&gt;0,Q26+R26-AK26,0)</f>
        <v>4</v>
      </c>
      <c r="AM26" s="28">
        <f t="shared" ref="AM26:AM37" si="36">AL26*H26</f>
        <v>52</v>
      </c>
      <c r="AN26" s="28"/>
      <c r="AO26" s="28">
        <f t="shared" ref="AO26:AO37" si="37">AN26*H26</f>
        <v>0</v>
      </c>
      <c r="AP26" s="7"/>
      <c r="AQ26" s="104"/>
      <c r="AR26" s="37"/>
      <c r="AS26" s="92">
        <f t="shared" ref="AS26:AS33" si="38">H26*AR26</f>
        <v>0</v>
      </c>
      <c r="AT26" s="47"/>
      <c r="AU26" s="126" t="s">
        <v>155</v>
      </c>
      <c r="AV26" s="126" t="s">
        <v>76</v>
      </c>
    </row>
    <row r="27" ht="50" customHeight="1" spans="1:53">
      <c r="A27" s="7"/>
      <c r="B27" s="7"/>
      <c r="C27" s="7"/>
      <c r="D27" s="7">
        <v>30</v>
      </c>
      <c r="E27" s="95"/>
      <c r="F27" s="28" t="s">
        <v>156</v>
      </c>
      <c r="G27" s="46" t="s">
        <v>157</v>
      </c>
      <c r="H27" s="84">
        <v>12</v>
      </c>
      <c r="I27" s="16">
        <v>8</v>
      </c>
      <c r="J27" s="85">
        <f t="shared" si="22"/>
        <v>24</v>
      </c>
      <c r="K27" s="20"/>
      <c r="L27" s="20"/>
      <c r="M27" s="87">
        <f t="shared" si="23"/>
        <v>0.0252631578947368</v>
      </c>
      <c r="N27" s="102" t="s">
        <v>72</v>
      </c>
      <c r="O27" s="102"/>
      <c r="P27" s="18">
        <f t="shared" si="24"/>
        <v>288</v>
      </c>
      <c r="Q27" s="96"/>
      <c r="R27" s="89">
        <v>16</v>
      </c>
      <c r="S27" s="96"/>
      <c r="T27" s="96"/>
      <c r="U27" s="96"/>
      <c r="V27" s="89">
        <v>8</v>
      </c>
      <c r="W27" s="96"/>
      <c r="X27" s="96"/>
      <c r="Y27" s="96"/>
      <c r="Z27" s="96"/>
      <c r="AA27" s="60">
        <f t="shared" si="25"/>
        <v>0</v>
      </c>
      <c r="AB27" s="60">
        <f t="shared" si="26"/>
        <v>192</v>
      </c>
      <c r="AC27" s="60">
        <f t="shared" si="27"/>
        <v>0</v>
      </c>
      <c r="AD27" s="60">
        <f t="shared" si="28"/>
        <v>0</v>
      </c>
      <c r="AE27" s="60">
        <f t="shared" si="29"/>
        <v>0</v>
      </c>
      <c r="AF27" s="60">
        <f t="shared" si="30"/>
        <v>96</v>
      </c>
      <c r="AG27" s="60">
        <f t="shared" si="31"/>
        <v>0</v>
      </c>
      <c r="AH27" s="60">
        <f t="shared" si="32"/>
        <v>0</v>
      </c>
      <c r="AI27" s="60">
        <f t="shared" si="33"/>
        <v>0</v>
      </c>
      <c r="AJ27" s="60">
        <f t="shared" si="34"/>
        <v>0</v>
      </c>
      <c r="AK27" s="90">
        <v>8</v>
      </c>
      <c r="AL27" s="28">
        <f t="shared" si="35"/>
        <v>8</v>
      </c>
      <c r="AM27" s="28">
        <f t="shared" si="36"/>
        <v>96</v>
      </c>
      <c r="AN27" s="28"/>
      <c r="AO27" s="28">
        <f t="shared" si="37"/>
        <v>0</v>
      </c>
      <c r="AP27" s="7"/>
      <c r="AQ27" s="104"/>
      <c r="AR27" s="37"/>
      <c r="AS27" s="92">
        <f t="shared" si="38"/>
        <v>0</v>
      </c>
      <c r="AT27" s="47"/>
      <c r="AU27" s="126"/>
      <c r="AV27" s="126"/>
    </row>
    <row r="28" ht="50" customHeight="1" spans="1:53">
      <c r="A28" s="34"/>
      <c r="B28" s="7"/>
      <c r="C28" s="7"/>
      <c r="D28" s="7">
        <v>35</v>
      </c>
      <c r="E28" s="82" t="s">
        <v>158</v>
      </c>
      <c r="F28" s="28" t="s">
        <v>159</v>
      </c>
      <c r="G28" s="46" t="s">
        <v>160</v>
      </c>
      <c r="H28" s="84">
        <v>9</v>
      </c>
      <c r="I28" s="16">
        <v>6</v>
      </c>
      <c r="J28" s="85">
        <f t="shared" si="22"/>
        <v>60</v>
      </c>
      <c r="K28" s="20"/>
      <c r="L28" s="20"/>
      <c r="M28" s="87">
        <f t="shared" si="23"/>
        <v>0.0631578947368421</v>
      </c>
      <c r="N28" s="102" t="s">
        <v>80</v>
      </c>
      <c r="O28" s="102"/>
      <c r="P28" s="18">
        <f t="shared" si="24"/>
        <v>540</v>
      </c>
      <c r="Q28" s="89">
        <v>24</v>
      </c>
      <c r="R28" s="96"/>
      <c r="S28" s="96"/>
      <c r="T28" s="89">
        <v>24</v>
      </c>
      <c r="U28" s="96"/>
      <c r="V28" s="127">
        <v>12</v>
      </c>
      <c r="W28" s="96"/>
      <c r="X28" s="96"/>
      <c r="Y28" s="96"/>
      <c r="Z28" s="96"/>
      <c r="AA28" s="60">
        <f t="shared" si="25"/>
        <v>216</v>
      </c>
      <c r="AB28" s="60">
        <f t="shared" si="26"/>
        <v>0</v>
      </c>
      <c r="AC28" s="60">
        <f t="shared" si="27"/>
        <v>0</v>
      </c>
      <c r="AD28" s="60">
        <f t="shared" si="28"/>
        <v>216</v>
      </c>
      <c r="AE28" s="60">
        <f t="shared" si="29"/>
        <v>0</v>
      </c>
      <c r="AF28" s="60">
        <f t="shared" si="30"/>
        <v>108</v>
      </c>
      <c r="AG28" s="60">
        <f t="shared" si="31"/>
        <v>0</v>
      </c>
      <c r="AH28" s="60">
        <f t="shared" si="32"/>
        <v>0</v>
      </c>
      <c r="AI28" s="60">
        <f t="shared" si="33"/>
        <v>0</v>
      </c>
      <c r="AJ28" s="60">
        <f t="shared" si="34"/>
        <v>0</v>
      </c>
      <c r="AK28" s="90">
        <v>10</v>
      </c>
      <c r="AL28" s="28">
        <f t="shared" si="35"/>
        <v>14</v>
      </c>
      <c r="AM28" s="28">
        <f t="shared" si="36"/>
        <v>126</v>
      </c>
      <c r="AN28" s="28"/>
      <c r="AO28" s="28">
        <f t="shared" si="37"/>
        <v>0</v>
      </c>
      <c r="AP28" s="34"/>
      <c r="AQ28" s="91" t="s">
        <v>161</v>
      </c>
      <c r="AR28" s="128"/>
      <c r="AS28" s="92">
        <f t="shared" si="38"/>
        <v>0</v>
      </c>
      <c r="AT28" s="129"/>
      <c r="AU28" s="126" t="s">
        <v>155</v>
      </c>
      <c r="AV28" s="126" t="s">
        <v>76</v>
      </c>
    </row>
    <row r="29" ht="50" customHeight="1" spans="1:53">
      <c r="A29" s="20" t="s">
        <v>162</v>
      </c>
      <c r="B29" s="7"/>
      <c r="C29" s="7"/>
      <c r="D29" s="7">
        <v>38</v>
      </c>
      <c r="E29" s="82" t="s">
        <v>163</v>
      </c>
      <c r="F29" s="28" t="s">
        <v>164</v>
      </c>
      <c r="G29" s="46" t="s">
        <v>165</v>
      </c>
      <c r="H29" s="84">
        <v>20</v>
      </c>
      <c r="I29" s="16" t="s">
        <v>166</v>
      </c>
      <c r="J29" s="85">
        <f t="shared" si="22"/>
        <v>50</v>
      </c>
      <c r="K29" s="20"/>
      <c r="L29" s="20"/>
      <c r="M29" s="87">
        <f t="shared" si="23"/>
        <v>0.0526315789473684</v>
      </c>
      <c r="N29" s="102" t="s">
        <v>80</v>
      </c>
      <c r="O29" s="102"/>
      <c r="P29" s="18">
        <f t="shared" si="24"/>
        <v>1000</v>
      </c>
      <c r="Q29" s="96"/>
      <c r="R29" s="96"/>
      <c r="S29" s="89">
        <v>20</v>
      </c>
      <c r="T29" s="96"/>
      <c r="U29" s="96"/>
      <c r="V29" s="89">
        <v>20</v>
      </c>
      <c r="W29" s="96"/>
      <c r="X29" s="96"/>
      <c r="Y29" s="89">
        <v>10</v>
      </c>
      <c r="Z29" s="96"/>
      <c r="AA29" s="60">
        <f t="shared" si="25"/>
        <v>0</v>
      </c>
      <c r="AB29" s="60">
        <f t="shared" si="26"/>
        <v>0</v>
      </c>
      <c r="AC29" s="60">
        <f t="shared" si="27"/>
        <v>400</v>
      </c>
      <c r="AD29" s="60">
        <f t="shared" si="28"/>
        <v>0</v>
      </c>
      <c r="AE29" s="60">
        <f t="shared" si="29"/>
        <v>0</v>
      </c>
      <c r="AF29" s="60">
        <f t="shared" si="30"/>
        <v>400</v>
      </c>
      <c r="AG29" s="60">
        <f t="shared" si="31"/>
        <v>0</v>
      </c>
      <c r="AH29" s="60">
        <f t="shared" si="32"/>
        <v>0</v>
      </c>
      <c r="AI29" s="60">
        <f t="shared" si="33"/>
        <v>200</v>
      </c>
      <c r="AJ29" s="60">
        <f t="shared" si="34"/>
        <v>0</v>
      </c>
      <c r="AK29" s="90">
        <v>3</v>
      </c>
      <c r="AL29" s="28">
        <f t="shared" si="35"/>
        <v>0</v>
      </c>
      <c r="AM29" s="28">
        <f t="shared" si="36"/>
        <v>0</v>
      </c>
      <c r="AN29" s="28"/>
      <c r="AO29" s="28">
        <f t="shared" si="37"/>
        <v>0</v>
      </c>
      <c r="AP29" s="7"/>
      <c r="AQ29" s="103" t="s">
        <v>167</v>
      </c>
      <c r="AR29" s="37"/>
      <c r="AS29" s="92">
        <f t="shared" si="38"/>
        <v>0</v>
      </c>
      <c r="AT29" s="129"/>
      <c r="AU29" s="126"/>
      <c r="AV29" s="126"/>
    </row>
    <row r="30" ht="50" customHeight="1" spans="1:53">
      <c r="A30" s="20"/>
      <c r="B30" s="7"/>
      <c r="C30" s="7"/>
      <c r="D30" s="7">
        <v>39</v>
      </c>
      <c r="E30" s="95"/>
      <c r="F30" s="83" t="s">
        <v>168</v>
      </c>
      <c r="G30" s="46" t="s">
        <v>169</v>
      </c>
      <c r="H30" s="84">
        <v>17</v>
      </c>
      <c r="I30" s="16" t="s">
        <v>166</v>
      </c>
      <c r="J30" s="85">
        <f t="shared" si="22"/>
        <v>120</v>
      </c>
      <c r="K30" s="20"/>
      <c r="L30" s="20"/>
      <c r="M30" s="87">
        <f t="shared" si="23"/>
        <v>0.126315789473684</v>
      </c>
      <c r="N30" s="102" t="s">
        <v>80</v>
      </c>
      <c r="O30" s="102"/>
      <c r="P30" s="18">
        <f t="shared" si="24"/>
        <v>2040</v>
      </c>
      <c r="Q30" s="96"/>
      <c r="R30" s="96"/>
      <c r="S30" s="89">
        <v>60</v>
      </c>
      <c r="T30" s="96"/>
      <c r="U30" s="96"/>
      <c r="V30" s="89">
        <v>30</v>
      </c>
      <c r="W30" s="96"/>
      <c r="X30" s="96"/>
      <c r="Y30" s="89">
        <v>30</v>
      </c>
      <c r="Z30" s="96"/>
      <c r="AA30" s="60">
        <f t="shared" si="25"/>
        <v>0</v>
      </c>
      <c r="AB30" s="60">
        <f t="shared" si="26"/>
        <v>0</v>
      </c>
      <c r="AC30" s="60">
        <f t="shared" si="27"/>
        <v>1020</v>
      </c>
      <c r="AD30" s="60">
        <f t="shared" si="28"/>
        <v>0</v>
      </c>
      <c r="AE30" s="60">
        <f t="shared" si="29"/>
        <v>0</v>
      </c>
      <c r="AF30" s="60">
        <f t="shared" si="30"/>
        <v>510</v>
      </c>
      <c r="AG30" s="60">
        <f t="shared" si="31"/>
        <v>0</v>
      </c>
      <c r="AH30" s="60">
        <f t="shared" si="32"/>
        <v>0</v>
      </c>
      <c r="AI30" s="60">
        <f>H30*Y31</f>
        <v>340</v>
      </c>
      <c r="AJ30" s="60">
        <f t="shared" si="34"/>
        <v>0</v>
      </c>
      <c r="AK30" s="90">
        <v>3</v>
      </c>
      <c r="AL30" s="28">
        <f t="shared" si="35"/>
        <v>0</v>
      </c>
      <c r="AM30" s="28">
        <f t="shared" si="36"/>
        <v>0</v>
      </c>
      <c r="AN30" s="28"/>
      <c r="AO30" s="28">
        <f t="shared" si="37"/>
        <v>0</v>
      </c>
      <c r="AP30" s="7"/>
      <c r="AQ30" s="104"/>
      <c r="AR30" s="37"/>
      <c r="AS30" s="92"/>
      <c r="AT30" s="129"/>
      <c r="AU30" s="126"/>
      <c r="AV30" s="126"/>
    </row>
    <row r="31" ht="50" customHeight="1" spans="1:53">
      <c r="A31" s="20"/>
      <c r="B31" s="7"/>
      <c r="C31" s="7"/>
      <c r="D31" s="7">
        <v>40</v>
      </c>
      <c r="E31" s="95"/>
      <c r="F31" s="28" t="s">
        <v>170</v>
      </c>
      <c r="G31" s="46" t="s">
        <v>171</v>
      </c>
      <c r="H31" s="84">
        <v>20</v>
      </c>
      <c r="I31" s="16" t="s">
        <v>166</v>
      </c>
      <c r="J31" s="85">
        <f t="shared" si="22"/>
        <v>80</v>
      </c>
      <c r="K31" s="20"/>
      <c r="L31" s="20"/>
      <c r="M31" s="87">
        <f t="shared" si="23"/>
        <v>0.0842105263157895</v>
      </c>
      <c r="N31" s="102" t="s">
        <v>80</v>
      </c>
      <c r="O31" s="102"/>
      <c r="P31" s="18">
        <f t="shared" si="24"/>
        <v>1600</v>
      </c>
      <c r="Q31" s="96"/>
      <c r="R31" s="96"/>
      <c r="S31" s="89">
        <v>30</v>
      </c>
      <c r="T31" s="96"/>
      <c r="U31" s="96"/>
      <c r="V31" s="89">
        <v>30</v>
      </c>
      <c r="W31" s="96"/>
      <c r="X31" s="96"/>
      <c r="Y31" s="89">
        <v>20</v>
      </c>
      <c r="Z31" s="96"/>
      <c r="AA31" s="60">
        <f t="shared" si="25"/>
        <v>0</v>
      </c>
      <c r="AB31" s="60">
        <f t="shared" si="26"/>
        <v>0</v>
      </c>
      <c r="AC31" s="60">
        <f t="shared" si="27"/>
        <v>600</v>
      </c>
      <c r="AD31" s="60">
        <f t="shared" si="28"/>
        <v>0</v>
      </c>
      <c r="AE31" s="60">
        <f t="shared" si="29"/>
        <v>0</v>
      </c>
      <c r="AF31" s="60">
        <f t="shared" si="30"/>
        <v>600</v>
      </c>
      <c r="AG31" s="60">
        <f t="shared" si="31"/>
        <v>0</v>
      </c>
      <c r="AH31" s="60">
        <f t="shared" si="32"/>
        <v>0</v>
      </c>
      <c r="AI31" s="60">
        <f>H31*Y31</f>
        <v>400</v>
      </c>
      <c r="AJ31" s="60">
        <f t="shared" si="34"/>
        <v>0</v>
      </c>
      <c r="AK31" s="90">
        <v>3</v>
      </c>
      <c r="AL31" s="28">
        <f t="shared" si="35"/>
        <v>0</v>
      </c>
      <c r="AM31" s="28">
        <f t="shared" si="36"/>
        <v>0</v>
      </c>
      <c r="AN31" s="28"/>
      <c r="AO31" s="28">
        <f t="shared" si="37"/>
        <v>0</v>
      </c>
      <c r="AP31" s="7"/>
      <c r="AQ31" s="104"/>
      <c r="AR31" s="37"/>
      <c r="AS31" s="92"/>
      <c r="AT31" s="129"/>
      <c r="AU31" s="126"/>
      <c r="AV31" s="126"/>
    </row>
    <row r="32" ht="50" customHeight="1" spans="1:53">
      <c r="A32" s="36"/>
      <c r="B32" s="37"/>
      <c r="C32" s="37"/>
      <c r="D32" s="38"/>
      <c r="E32" s="100"/>
      <c r="F32" s="32" t="s">
        <v>172</v>
      </c>
      <c r="G32" s="46" t="s">
        <v>173</v>
      </c>
      <c r="H32" s="125">
        <v>20</v>
      </c>
      <c r="I32" s="16" t="s">
        <v>166</v>
      </c>
      <c r="J32" s="85">
        <f t="shared" si="22"/>
        <v>40</v>
      </c>
      <c r="K32" s="34"/>
      <c r="L32" s="34"/>
      <c r="M32" s="87">
        <f t="shared" si="23"/>
        <v>0.0421052631578947</v>
      </c>
      <c r="N32" s="102" t="s">
        <v>80</v>
      </c>
      <c r="O32" s="102"/>
      <c r="P32" s="18">
        <f t="shared" si="24"/>
        <v>800</v>
      </c>
      <c r="Q32" s="96"/>
      <c r="R32" s="89">
        <v>20</v>
      </c>
      <c r="S32" s="96"/>
      <c r="T32" s="96"/>
      <c r="U32" s="96"/>
      <c r="V32" s="89">
        <v>10</v>
      </c>
      <c r="W32" s="96"/>
      <c r="X32" s="96"/>
      <c r="Y32" s="89">
        <v>10</v>
      </c>
      <c r="Z32" s="96"/>
      <c r="AA32" s="60">
        <f t="shared" si="25"/>
        <v>0</v>
      </c>
      <c r="AB32" s="60">
        <f t="shared" si="26"/>
        <v>400</v>
      </c>
      <c r="AC32" s="60">
        <f t="shared" si="27"/>
        <v>0</v>
      </c>
      <c r="AD32" s="60">
        <f t="shared" si="28"/>
        <v>0</v>
      </c>
      <c r="AE32" s="60">
        <f t="shared" si="29"/>
        <v>0</v>
      </c>
      <c r="AF32" s="60">
        <f t="shared" si="30"/>
        <v>200</v>
      </c>
      <c r="AG32" s="60">
        <f t="shared" si="31"/>
        <v>0</v>
      </c>
      <c r="AH32" s="60">
        <f t="shared" si="32"/>
        <v>0</v>
      </c>
      <c r="AI32" s="60">
        <f t="shared" si="33"/>
        <v>200</v>
      </c>
      <c r="AJ32" s="60">
        <f t="shared" si="34"/>
        <v>0</v>
      </c>
      <c r="AK32" s="90">
        <v>3</v>
      </c>
      <c r="AL32" s="28">
        <f t="shared" si="35"/>
        <v>17</v>
      </c>
      <c r="AM32" s="28">
        <f t="shared" si="36"/>
        <v>340</v>
      </c>
      <c r="AN32" s="28"/>
      <c r="AO32" s="28">
        <f t="shared" si="37"/>
        <v>0</v>
      </c>
      <c r="AP32" s="7"/>
      <c r="AQ32" s="109"/>
      <c r="AR32" s="37"/>
      <c r="AS32" s="92">
        <f>H32*AR32</f>
        <v>0</v>
      </c>
      <c r="AT32" s="47"/>
      <c r="AU32" s="126"/>
      <c r="AV32" s="126"/>
    </row>
    <row r="33" ht="50" customHeight="1" spans="1:48">
      <c r="A33" s="36"/>
      <c r="B33" s="37"/>
      <c r="C33" s="37"/>
      <c r="D33" s="38"/>
      <c r="E33" s="95" t="s">
        <v>174</v>
      </c>
      <c r="F33" s="130" t="s">
        <v>175</v>
      </c>
      <c r="G33" s="46" t="s">
        <v>176</v>
      </c>
      <c r="H33" s="84">
        <v>15</v>
      </c>
      <c r="I33" s="7">
        <v>10</v>
      </c>
      <c r="J33" s="85">
        <f t="shared" si="22"/>
        <v>140</v>
      </c>
      <c r="K33" s="34"/>
      <c r="L33" s="34"/>
      <c r="M33" s="87">
        <f t="shared" si="23"/>
        <v>0.147368421052632</v>
      </c>
      <c r="N33" s="102" t="s">
        <v>80</v>
      </c>
      <c r="O33" s="102"/>
      <c r="P33" s="18">
        <f t="shared" si="24"/>
        <v>2100</v>
      </c>
      <c r="Q33" s="96"/>
      <c r="R33" s="89">
        <v>60</v>
      </c>
      <c r="S33" s="96"/>
      <c r="T33" s="96"/>
      <c r="U33" s="89">
        <v>40</v>
      </c>
      <c r="V33" s="96"/>
      <c r="W33" s="96"/>
      <c r="X33" s="96"/>
      <c r="Y33" s="89">
        <v>40</v>
      </c>
      <c r="Z33" s="96"/>
      <c r="AA33" s="60">
        <f t="shared" si="25"/>
        <v>0</v>
      </c>
      <c r="AB33" s="60">
        <f t="shared" si="26"/>
        <v>900</v>
      </c>
      <c r="AC33" s="60">
        <f t="shared" si="27"/>
        <v>0</v>
      </c>
      <c r="AD33" s="60">
        <f t="shared" si="28"/>
        <v>0</v>
      </c>
      <c r="AE33" s="60">
        <f t="shared" si="29"/>
        <v>600</v>
      </c>
      <c r="AF33" s="60">
        <f t="shared" si="30"/>
        <v>0</v>
      </c>
      <c r="AG33" s="60">
        <f t="shared" si="31"/>
        <v>0</v>
      </c>
      <c r="AH33" s="60">
        <f t="shared" si="32"/>
        <v>0</v>
      </c>
      <c r="AI33" s="60">
        <f t="shared" si="33"/>
        <v>600</v>
      </c>
      <c r="AJ33" s="60">
        <f t="shared" si="34"/>
        <v>0</v>
      </c>
      <c r="AK33" s="90">
        <v>16</v>
      </c>
      <c r="AL33" s="28">
        <f t="shared" si="35"/>
        <v>44</v>
      </c>
      <c r="AM33" s="28">
        <f t="shared" si="36"/>
        <v>660</v>
      </c>
      <c r="AN33" s="28"/>
      <c r="AO33" s="28">
        <f t="shared" si="37"/>
        <v>0</v>
      </c>
      <c r="AP33" s="7"/>
      <c r="AQ33" s="103" t="s">
        <v>177</v>
      </c>
      <c r="AR33" s="37"/>
      <c r="AS33" s="42"/>
      <c r="AT33" s="47"/>
      <c r="AU33" s="126"/>
      <c r="AV33" s="126"/>
    </row>
    <row r="34" ht="50" customHeight="1" spans="1:48">
      <c r="A34" s="36"/>
      <c r="B34" s="37"/>
      <c r="C34" s="37"/>
      <c r="D34" s="38"/>
      <c r="E34" s="95"/>
      <c r="F34" s="32" t="s">
        <v>178</v>
      </c>
      <c r="G34" s="46" t="s">
        <v>179</v>
      </c>
      <c r="H34" s="131">
        <v>18</v>
      </c>
      <c r="I34" s="7">
        <v>10</v>
      </c>
      <c r="J34" s="85">
        <f t="shared" ref="J34:J49" si="39">SUM(Q34:Z34)</f>
        <v>100</v>
      </c>
      <c r="K34" s="34"/>
      <c r="L34" s="34"/>
      <c r="M34" s="87">
        <f t="shared" si="23"/>
        <v>0.105263157894737</v>
      </c>
      <c r="N34" s="102" t="s">
        <v>80</v>
      </c>
      <c r="O34" s="102"/>
      <c r="P34" s="18">
        <f t="shared" si="24"/>
        <v>1800</v>
      </c>
      <c r="Q34" s="96"/>
      <c r="R34" s="89">
        <v>40</v>
      </c>
      <c r="S34" s="96"/>
      <c r="T34" s="96"/>
      <c r="U34" s="89">
        <v>30</v>
      </c>
      <c r="V34" s="96"/>
      <c r="W34" s="96"/>
      <c r="X34" s="96"/>
      <c r="Y34" s="89">
        <v>30</v>
      </c>
      <c r="Z34" s="96"/>
      <c r="AA34" s="60">
        <f t="shared" si="25"/>
        <v>0</v>
      </c>
      <c r="AB34" s="60">
        <f t="shared" si="26"/>
        <v>720</v>
      </c>
      <c r="AC34" s="60">
        <f t="shared" si="27"/>
        <v>0</v>
      </c>
      <c r="AD34" s="60">
        <f t="shared" si="28"/>
        <v>0</v>
      </c>
      <c r="AE34" s="60">
        <f t="shared" si="29"/>
        <v>540</v>
      </c>
      <c r="AF34" s="60">
        <f t="shared" si="30"/>
        <v>0</v>
      </c>
      <c r="AG34" s="60">
        <f t="shared" si="31"/>
        <v>0</v>
      </c>
      <c r="AH34" s="60">
        <f t="shared" si="32"/>
        <v>0</v>
      </c>
      <c r="AI34" s="60">
        <f t="shared" si="33"/>
        <v>540</v>
      </c>
      <c r="AJ34" s="60">
        <f t="shared" si="34"/>
        <v>0</v>
      </c>
      <c r="AK34" s="90">
        <v>16</v>
      </c>
      <c r="AL34" s="28">
        <f t="shared" si="35"/>
        <v>24</v>
      </c>
      <c r="AM34" s="28">
        <f t="shared" si="36"/>
        <v>432</v>
      </c>
      <c r="AN34" s="28"/>
      <c r="AO34" s="28">
        <f t="shared" si="37"/>
        <v>0</v>
      </c>
      <c r="AP34" s="7"/>
      <c r="AQ34" s="104"/>
      <c r="AR34" s="37"/>
      <c r="AS34" s="42"/>
      <c r="AT34" s="47"/>
      <c r="AU34" s="126"/>
      <c r="AV34" s="126"/>
    </row>
    <row r="35" ht="50" customHeight="1" spans="1:48">
      <c r="A35" s="36"/>
      <c r="B35" s="37"/>
      <c r="C35" s="37"/>
      <c r="D35" s="38"/>
      <c r="E35" s="95"/>
      <c r="F35" s="32" t="s">
        <v>180</v>
      </c>
      <c r="G35" s="46" t="s">
        <v>181</v>
      </c>
      <c r="H35" s="131">
        <v>22</v>
      </c>
      <c r="I35" s="7" t="s">
        <v>166</v>
      </c>
      <c r="J35" s="85">
        <f t="shared" si="39"/>
        <v>60</v>
      </c>
      <c r="K35" s="34"/>
      <c r="L35" s="34"/>
      <c r="M35" s="87">
        <f t="shared" ref="M35:M49" si="40">(J35-AN35)/$I$3</f>
        <v>0.0631578947368421</v>
      </c>
      <c r="N35" s="102" t="s">
        <v>80</v>
      </c>
      <c r="O35" s="102"/>
      <c r="P35" s="18">
        <f t="shared" ref="P35:P49" si="41">H35*J35</f>
        <v>1320</v>
      </c>
      <c r="Q35" s="96"/>
      <c r="R35" s="96"/>
      <c r="S35" s="89">
        <v>24</v>
      </c>
      <c r="T35" s="96"/>
      <c r="U35" s="96"/>
      <c r="V35" s="89">
        <v>24</v>
      </c>
      <c r="W35" s="96"/>
      <c r="X35" s="96"/>
      <c r="Y35" s="89">
        <v>12</v>
      </c>
      <c r="Z35" s="96"/>
      <c r="AA35" s="60">
        <f t="shared" si="25"/>
        <v>0</v>
      </c>
      <c r="AB35" s="60">
        <f t="shared" si="26"/>
        <v>0</v>
      </c>
      <c r="AC35" s="60">
        <f t="shared" si="27"/>
        <v>528</v>
      </c>
      <c r="AD35" s="60">
        <f t="shared" si="28"/>
        <v>0</v>
      </c>
      <c r="AE35" s="60">
        <f t="shared" si="29"/>
        <v>0</v>
      </c>
      <c r="AF35" s="60">
        <f t="shared" si="30"/>
        <v>528</v>
      </c>
      <c r="AG35" s="60">
        <f t="shared" si="31"/>
        <v>0</v>
      </c>
      <c r="AH35" s="60">
        <f t="shared" si="32"/>
        <v>0</v>
      </c>
      <c r="AI35" s="60">
        <f t="shared" si="33"/>
        <v>264</v>
      </c>
      <c r="AJ35" s="60">
        <f t="shared" si="34"/>
        <v>0</v>
      </c>
      <c r="AK35" s="90">
        <v>6</v>
      </c>
      <c r="AL35" s="28">
        <f t="shared" si="35"/>
        <v>0</v>
      </c>
      <c r="AM35" s="28">
        <f t="shared" si="36"/>
        <v>0</v>
      </c>
      <c r="AN35" s="28"/>
      <c r="AO35" s="28">
        <f t="shared" si="37"/>
        <v>0</v>
      </c>
      <c r="AP35" s="7"/>
      <c r="AQ35" s="104"/>
      <c r="AR35" s="37"/>
      <c r="AS35" s="42"/>
      <c r="AT35" s="47"/>
      <c r="AU35" s="126"/>
      <c r="AV35" s="126"/>
    </row>
    <row r="36" ht="50" customHeight="1" spans="1:48">
      <c r="A36" s="36"/>
      <c r="B36" s="37"/>
      <c r="C36" s="37"/>
      <c r="D36" s="38"/>
      <c r="E36" s="95"/>
      <c r="F36" s="130" t="s">
        <v>182</v>
      </c>
      <c r="G36" s="46" t="s">
        <v>183</v>
      </c>
      <c r="H36" s="131">
        <v>23</v>
      </c>
      <c r="I36" s="7" t="s">
        <v>166</v>
      </c>
      <c r="J36" s="85">
        <f t="shared" si="39"/>
        <v>48</v>
      </c>
      <c r="K36" s="34"/>
      <c r="L36" s="34"/>
      <c r="M36" s="87">
        <f t="shared" si="40"/>
        <v>0.0505263157894737</v>
      </c>
      <c r="N36" s="102" t="s">
        <v>80</v>
      </c>
      <c r="O36" s="102"/>
      <c r="P36" s="18">
        <f t="shared" si="41"/>
        <v>1104</v>
      </c>
      <c r="Q36" s="96"/>
      <c r="R36" s="96"/>
      <c r="S36" s="89">
        <v>18</v>
      </c>
      <c r="T36" s="96"/>
      <c r="U36" s="96"/>
      <c r="V36" s="89">
        <v>18</v>
      </c>
      <c r="W36" s="96"/>
      <c r="X36" s="96"/>
      <c r="Y36" s="89">
        <v>12</v>
      </c>
      <c r="Z36" s="96"/>
      <c r="AA36" s="60">
        <f t="shared" si="25"/>
        <v>0</v>
      </c>
      <c r="AB36" s="60">
        <f t="shared" si="26"/>
        <v>0</v>
      </c>
      <c r="AC36" s="60">
        <f t="shared" si="27"/>
        <v>414</v>
      </c>
      <c r="AD36" s="60">
        <f t="shared" si="28"/>
        <v>0</v>
      </c>
      <c r="AE36" s="60">
        <f t="shared" si="29"/>
        <v>0</v>
      </c>
      <c r="AF36" s="60">
        <f t="shared" si="30"/>
        <v>414</v>
      </c>
      <c r="AG36" s="60">
        <f t="shared" si="31"/>
        <v>0</v>
      </c>
      <c r="AH36" s="60">
        <f t="shared" si="32"/>
        <v>0</v>
      </c>
      <c r="AI36" s="60">
        <f t="shared" si="33"/>
        <v>276</v>
      </c>
      <c r="AJ36" s="60">
        <f t="shared" si="34"/>
        <v>0</v>
      </c>
      <c r="AK36" s="90">
        <v>6</v>
      </c>
      <c r="AL36" s="28">
        <f t="shared" si="35"/>
        <v>0</v>
      </c>
      <c r="AM36" s="28">
        <f t="shared" si="36"/>
        <v>0</v>
      </c>
      <c r="AN36" s="28"/>
      <c r="AO36" s="28">
        <f t="shared" si="37"/>
        <v>0</v>
      </c>
      <c r="AP36" s="7"/>
      <c r="AQ36" s="104"/>
      <c r="AR36" s="37"/>
      <c r="AS36" s="42"/>
      <c r="AT36" s="47"/>
      <c r="AU36" s="126"/>
      <c r="AV36" s="126"/>
    </row>
    <row r="37" ht="50" customHeight="1" spans="1:48">
      <c r="A37" s="36"/>
      <c r="B37" s="37"/>
      <c r="C37" s="37"/>
      <c r="D37" s="38"/>
      <c r="E37" s="100"/>
      <c r="F37" s="32" t="s">
        <v>184</v>
      </c>
      <c r="G37" s="46" t="s">
        <v>185</v>
      </c>
      <c r="H37" s="131">
        <v>25</v>
      </c>
      <c r="I37" s="7" t="s">
        <v>166</v>
      </c>
      <c r="J37" s="85">
        <f t="shared" si="39"/>
        <v>48</v>
      </c>
      <c r="K37" s="34"/>
      <c r="L37" s="34"/>
      <c r="M37" s="87">
        <f t="shared" si="40"/>
        <v>0.0505263157894737</v>
      </c>
      <c r="N37" s="102" t="s">
        <v>80</v>
      </c>
      <c r="O37" s="102"/>
      <c r="P37" s="18">
        <f t="shared" si="41"/>
        <v>1200</v>
      </c>
      <c r="Q37" s="96"/>
      <c r="R37" s="96"/>
      <c r="S37" s="89">
        <v>18</v>
      </c>
      <c r="T37" s="96"/>
      <c r="U37" s="96"/>
      <c r="V37" s="89">
        <v>18</v>
      </c>
      <c r="W37" s="96"/>
      <c r="X37" s="96"/>
      <c r="Y37" s="89">
        <v>12</v>
      </c>
      <c r="Z37" s="96"/>
      <c r="AA37" s="60">
        <f t="shared" si="25"/>
        <v>0</v>
      </c>
      <c r="AB37" s="60">
        <f t="shared" si="26"/>
        <v>0</v>
      </c>
      <c r="AC37" s="60">
        <f t="shared" si="27"/>
        <v>450</v>
      </c>
      <c r="AD37" s="60">
        <f t="shared" si="28"/>
        <v>0</v>
      </c>
      <c r="AE37" s="60">
        <f t="shared" si="29"/>
        <v>0</v>
      </c>
      <c r="AF37" s="60">
        <f t="shared" si="30"/>
        <v>450</v>
      </c>
      <c r="AG37" s="60">
        <f t="shared" si="31"/>
        <v>0</v>
      </c>
      <c r="AH37" s="60">
        <f t="shared" si="32"/>
        <v>0</v>
      </c>
      <c r="AI37" s="60">
        <f t="shared" si="33"/>
        <v>300</v>
      </c>
      <c r="AJ37" s="60">
        <f t="shared" si="34"/>
        <v>0</v>
      </c>
      <c r="AK37" s="90">
        <v>6</v>
      </c>
      <c r="AL37" s="28">
        <f t="shared" si="35"/>
        <v>0</v>
      </c>
      <c r="AM37" s="28">
        <f t="shared" si="36"/>
        <v>0</v>
      </c>
      <c r="AN37" s="28"/>
      <c r="AO37" s="28">
        <f t="shared" si="37"/>
        <v>0</v>
      </c>
      <c r="AP37" s="7"/>
      <c r="AQ37" s="109"/>
      <c r="AR37" s="37"/>
      <c r="AS37" s="42"/>
      <c r="AT37" s="47"/>
      <c r="AU37" s="126"/>
      <c r="AV37" s="126"/>
    </row>
    <row r="38" ht="50" customHeight="1" spans="1:48">
      <c r="A38" s="36"/>
      <c r="B38" s="37"/>
      <c r="C38" s="37"/>
      <c r="D38" s="38"/>
      <c r="E38" s="95"/>
      <c r="F38" s="83" t="s">
        <v>186</v>
      </c>
      <c r="G38" s="132" t="s">
        <v>187</v>
      </c>
      <c r="H38" s="133">
        <v>27.9</v>
      </c>
      <c r="I38" s="7" t="s">
        <v>166</v>
      </c>
      <c r="J38" s="85">
        <f t="shared" si="39"/>
        <v>80</v>
      </c>
      <c r="K38" s="34"/>
      <c r="L38" s="34"/>
      <c r="M38" s="87">
        <f t="shared" si="40"/>
        <v>0.0842105263157895</v>
      </c>
      <c r="N38" s="102" t="s">
        <v>80</v>
      </c>
      <c r="O38" s="102"/>
      <c r="P38" s="18">
        <f t="shared" si="41"/>
        <v>2232</v>
      </c>
      <c r="Q38" s="96"/>
      <c r="R38" s="96"/>
      <c r="S38" s="89">
        <v>30</v>
      </c>
      <c r="T38" s="96"/>
      <c r="U38" s="96"/>
      <c r="V38" s="89">
        <v>30</v>
      </c>
      <c r="W38" s="96"/>
      <c r="X38" s="96"/>
      <c r="Y38" s="89">
        <v>20</v>
      </c>
      <c r="Z38" s="96"/>
      <c r="AA38" s="60">
        <f t="shared" si="25"/>
        <v>0</v>
      </c>
      <c r="AB38" s="60">
        <f t="shared" si="26"/>
        <v>0</v>
      </c>
      <c r="AC38" s="60">
        <f t="shared" si="27"/>
        <v>837</v>
      </c>
      <c r="AD38" s="60">
        <f t="shared" si="28"/>
        <v>0</v>
      </c>
      <c r="AE38" s="60">
        <f t="shared" si="29"/>
        <v>0</v>
      </c>
      <c r="AF38" s="60">
        <f t="shared" si="30"/>
        <v>837</v>
      </c>
      <c r="AG38" s="60">
        <f t="shared" si="31"/>
        <v>0</v>
      </c>
      <c r="AH38" s="60">
        <f t="shared" si="32"/>
        <v>0</v>
      </c>
      <c r="AI38" s="60">
        <f t="shared" si="33"/>
        <v>558</v>
      </c>
      <c r="AJ38" s="60">
        <f t="shared" si="34"/>
        <v>0</v>
      </c>
      <c r="AK38" s="90"/>
      <c r="AL38" s="28"/>
      <c r="AM38" s="28"/>
      <c r="AN38" s="28"/>
      <c r="AO38" s="28"/>
      <c r="AP38" s="7"/>
      <c r="AQ38" s="104"/>
      <c r="AR38" s="37"/>
      <c r="AS38" s="42"/>
      <c r="AT38" s="47"/>
      <c r="AU38" s="126"/>
      <c r="AV38" s="126"/>
    </row>
    <row r="39" ht="50" customHeight="1" spans="1:48">
      <c r="A39" s="36"/>
      <c r="B39" s="37"/>
      <c r="C39" s="37"/>
      <c r="D39" s="38"/>
      <c r="E39" s="95"/>
      <c r="F39" s="83" t="s">
        <v>188</v>
      </c>
      <c r="G39" s="132" t="s">
        <v>189</v>
      </c>
      <c r="H39" s="133">
        <v>29.9</v>
      </c>
      <c r="I39" s="7" t="s">
        <v>166</v>
      </c>
      <c r="J39" s="85">
        <f t="shared" si="39"/>
        <v>60</v>
      </c>
      <c r="K39" s="34"/>
      <c r="L39" s="34"/>
      <c r="M39" s="87">
        <f t="shared" si="40"/>
        <v>0.0631578947368421</v>
      </c>
      <c r="N39" s="102" t="s">
        <v>80</v>
      </c>
      <c r="O39" s="102"/>
      <c r="P39" s="18">
        <f t="shared" si="41"/>
        <v>1794</v>
      </c>
      <c r="Q39" s="96"/>
      <c r="R39" s="96"/>
      <c r="S39" s="89">
        <v>30</v>
      </c>
      <c r="T39" s="96"/>
      <c r="U39" s="96"/>
      <c r="V39" s="89">
        <v>30</v>
      </c>
      <c r="W39" s="96"/>
      <c r="X39" s="96"/>
      <c r="Y39" s="96"/>
      <c r="Z39" s="96"/>
      <c r="AA39" s="60">
        <f t="shared" si="25"/>
        <v>0</v>
      </c>
      <c r="AB39" s="60">
        <f t="shared" si="26"/>
        <v>0</v>
      </c>
      <c r="AC39" s="60">
        <f t="shared" si="27"/>
        <v>897</v>
      </c>
      <c r="AD39" s="60">
        <f t="shared" si="28"/>
        <v>0</v>
      </c>
      <c r="AE39" s="60">
        <f t="shared" si="29"/>
        <v>0</v>
      </c>
      <c r="AF39" s="60">
        <f t="shared" si="30"/>
        <v>897</v>
      </c>
      <c r="AG39" s="60">
        <f t="shared" si="31"/>
        <v>0</v>
      </c>
      <c r="AH39" s="60">
        <f t="shared" si="32"/>
        <v>0</v>
      </c>
      <c r="AI39" s="60">
        <f t="shared" si="33"/>
        <v>0</v>
      </c>
      <c r="AJ39" s="60">
        <f t="shared" si="34"/>
        <v>0</v>
      </c>
      <c r="AK39" s="90"/>
      <c r="AL39" s="28"/>
      <c r="AM39" s="28"/>
      <c r="AN39" s="28"/>
      <c r="AO39" s="28"/>
      <c r="AP39" s="7"/>
      <c r="AQ39" s="104"/>
      <c r="AR39" s="37"/>
      <c r="AS39" s="42"/>
      <c r="AT39" s="47"/>
      <c r="AU39" s="126"/>
      <c r="AV39" s="126"/>
    </row>
    <row r="40" ht="50" customHeight="1" spans="1:48">
      <c r="A40" s="36"/>
      <c r="B40" s="37"/>
      <c r="C40" s="37"/>
      <c r="D40" s="38"/>
      <c r="E40" s="95"/>
      <c r="F40" s="83" t="s">
        <v>190</v>
      </c>
      <c r="G40" s="134" t="s">
        <v>191</v>
      </c>
      <c r="H40" s="133">
        <v>11.9</v>
      </c>
      <c r="I40" s="7" t="s">
        <v>166</v>
      </c>
      <c r="J40" s="85">
        <f t="shared" si="39"/>
        <v>200</v>
      </c>
      <c r="K40" s="34"/>
      <c r="L40" s="34"/>
      <c r="M40" s="87">
        <f t="shared" si="40"/>
        <v>0.210526315789474</v>
      </c>
      <c r="N40" s="102" t="s">
        <v>80</v>
      </c>
      <c r="O40" s="102"/>
      <c r="P40" s="18">
        <f t="shared" si="41"/>
        <v>2380</v>
      </c>
      <c r="Q40" s="96"/>
      <c r="R40" s="96"/>
      <c r="S40" s="89">
        <v>80</v>
      </c>
      <c r="T40" s="96"/>
      <c r="U40" s="96"/>
      <c r="V40" s="89">
        <v>60</v>
      </c>
      <c r="W40" s="96"/>
      <c r="X40" s="96"/>
      <c r="Y40" s="89">
        <v>60</v>
      </c>
      <c r="Z40" s="96"/>
      <c r="AA40" s="60">
        <f t="shared" si="25"/>
        <v>0</v>
      </c>
      <c r="AB40" s="60">
        <f t="shared" si="26"/>
        <v>0</v>
      </c>
      <c r="AC40" s="60">
        <f t="shared" si="27"/>
        <v>952</v>
      </c>
      <c r="AD40" s="60">
        <f t="shared" si="28"/>
        <v>0</v>
      </c>
      <c r="AE40" s="60">
        <f t="shared" si="29"/>
        <v>0</v>
      </c>
      <c r="AF40" s="60">
        <f t="shared" si="30"/>
        <v>714</v>
      </c>
      <c r="AG40" s="60">
        <f t="shared" si="31"/>
        <v>0</v>
      </c>
      <c r="AH40" s="60">
        <f t="shared" si="32"/>
        <v>0</v>
      </c>
      <c r="AI40" s="60">
        <f t="shared" si="33"/>
        <v>714</v>
      </c>
      <c r="AJ40" s="60">
        <f t="shared" si="34"/>
        <v>0</v>
      </c>
      <c r="AK40" s="90"/>
      <c r="AL40" s="28"/>
      <c r="AM40" s="28"/>
      <c r="AN40" s="28"/>
      <c r="AO40" s="28"/>
      <c r="AP40" s="7"/>
      <c r="AQ40" s="104"/>
      <c r="AR40" s="37"/>
      <c r="AS40" s="42"/>
      <c r="AT40" s="47"/>
      <c r="AU40" s="126"/>
      <c r="AV40" s="126"/>
    </row>
    <row r="41" ht="50" customHeight="1" spans="1:48">
      <c r="A41" s="36"/>
      <c r="B41" s="37"/>
      <c r="C41" s="37"/>
      <c r="D41" s="38"/>
      <c r="E41" s="95"/>
      <c r="F41" s="83" t="s">
        <v>192</v>
      </c>
      <c r="G41" s="134" t="s">
        <v>193</v>
      </c>
      <c r="H41" s="133">
        <v>11.9</v>
      </c>
      <c r="I41" s="7" t="s">
        <v>166</v>
      </c>
      <c r="J41" s="85">
        <f t="shared" si="39"/>
        <v>120</v>
      </c>
      <c r="K41" s="34"/>
      <c r="L41" s="34"/>
      <c r="M41" s="87">
        <f t="shared" si="40"/>
        <v>0.126315789473684</v>
      </c>
      <c r="N41" s="102" t="s">
        <v>80</v>
      </c>
      <c r="O41" s="102"/>
      <c r="P41" s="18">
        <f t="shared" si="41"/>
        <v>1428</v>
      </c>
      <c r="Q41" s="96"/>
      <c r="R41" s="96"/>
      <c r="S41" s="89">
        <v>40</v>
      </c>
      <c r="T41" s="96"/>
      <c r="U41" s="96"/>
      <c r="V41" s="89">
        <v>40</v>
      </c>
      <c r="W41" s="96"/>
      <c r="X41" s="96"/>
      <c r="Y41" s="89">
        <v>40</v>
      </c>
      <c r="Z41" s="96"/>
      <c r="AA41" s="60">
        <f t="shared" si="25"/>
        <v>0</v>
      </c>
      <c r="AB41" s="60">
        <f t="shared" si="26"/>
        <v>0</v>
      </c>
      <c r="AC41" s="60">
        <f t="shared" si="27"/>
        <v>476</v>
      </c>
      <c r="AD41" s="60">
        <f t="shared" si="28"/>
        <v>0</v>
      </c>
      <c r="AE41" s="60">
        <f t="shared" si="29"/>
        <v>0</v>
      </c>
      <c r="AF41" s="60">
        <f t="shared" si="30"/>
        <v>476</v>
      </c>
      <c r="AG41" s="60">
        <f t="shared" si="31"/>
        <v>0</v>
      </c>
      <c r="AH41" s="60">
        <f t="shared" si="32"/>
        <v>0</v>
      </c>
      <c r="AI41" s="60">
        <f t="shared" si="33"/>
        <v>476</v>
      </c>
      <c r="AJ41" s="60">
        <f t="shared" si="34"/>
        <v>0</v>
      </c>
      <c r="AK41" s="90"/>
      <c r="AL41" s="28"/>
      <c r="AM41" s="28"/>
      <c r="AN41" s="28"/>
      <c r="AO41" s="28"/>
      <c r="AP41" s="7"/>
      <c r="AQ41" s="104"/>
      <c r="AR41" s="37"/>
      <c r="AS41" s="42"/>
      <c r="AT41" s="47"/>
      <c r="AU41" s="126"/>
      <c r="AV41" s="126"/>
    </row>
    <row r="42" ht="50" customHeight="1" spans="1:48">
      <c r="A42" s="36"/>
      <c r="B42" s="37"/>
      <c r="C42" s="37"/>
      <c r="D42" s="38"/>
      <c r="E42" s="95"/>
      <c r="F42" s="83" t="s">
        <v>194</v>
      </c>
      <c r="G42" s="134" t="s">
        <v>195</v>
      </c>
      <c r="H42" s="133">
        <v>8.9</v>
      </c>
      <c r="I42" s="7" t="s">
        <v>166</v>
      </c>
      <c r="J42" s="85">
        <f t="shared" si="39"/>
        <v>150</v>
      </c>
      <c r="K42" s="34"/>
      <c r="L42" s="34"/>
      <c r="M42" s="87">
        <f t="shared" si="40"/>
        <v>0.157894736842105</v>
      </c>
      <c r="N42" s="102" t="s">
        <v>80</v>
      </c>
      <c r="O42" s="102"/>
      <c r="P42" s="18">
        <f t="shared" si="41"/>
        <v>1335</v>
      </c>
      <c r="Q42" s="96"/>
      <c r="R42" s="96"/>
      <c r="S42" s="89">
        <v>50</v>
      </c>
      <c r="T42" s="96"/>
      <c r="U42" s="96"/>
      <c r="V42" s="89">
        <v>50</v>
      </c>
      <c r="W42" s="96"/>
      <c r="X42" s="96"/>
      <c r="Y42" s="89">
        <v>50</v>
      </c>
      <c r="Z42" s="96"/>
      <c r="AA42" s="60">
        <f t="shared" si="25"/>
        <v>0</v>
      </c>
      <c r="AB42" s="60">
        <f t="shared" si="26"/>
        <v>0</v>
      </c>
      <c r="AC42" s="60">
        <f t="shared" si="27"/>
        <v>445</v>
      </c>
      <c r="AD42" s="60">
        <f t="shared" si="28"/>
        <v>0</v>
      </c>
      <c r="AE42" s="60">
        <f t="shared" si="29"/>
        <v>0</v>
      </c>
      <c r="AF42" s="60">
        <f t="shared" si="30"/>
        <v>445</v>
      </c>
      <c r="AG42" s="60">
        <f t="shared" si="31"/>
        <v>0</v>
      </c>
      <c r="AH42" s="60">
        <f t="shared" si="32"/>
        <v>0</v>
      </c>
      <c r="AI42" s="60">
        <f t="shared" si="33"/>
        <v>445</v>
      </c>
      <c r="AJ42" s="60">
        <f t="shared" si="34"/>
        <v>0</v>
      </c>
      <c r="AK42" s="90"/>
      <c r="AL42" s="28"/>
      <c r="AM42" s="28"/>
      <c r="AN42" s="28"/>
      <c r="AO42" s="28"/>
      <c r="AP42" s="7"/>
      <c r="AQ42" s="104"/>
      <c r="AR42" s="37"/>
      <c r="AS42" s="42"/>
      <c r="AT42" s="47"/>
      <c r="AU42" s="126"/>
      <c r="AV42" s="126"/>
    </row>
    <row r="43" ht="50" customHeight="1" spans="1:48">
      <c r="A43" s="36"/>
      <c r="B43" s="37"/>
      <c r="C43" s="37"/>
      <c r="D43" s="38"/>
      <c r="E43" s="95" t="s">
        <v>196</v>
      </c>
      <c r="F43" s="135" t="s">
        <v>197</v>
      </c>
      <c r="G43" s="135" t="s">
        <v>198</v>
      </c>
      <c r="H43" s="136">
        <v>17.9</v>
      </c>
      <c r="I43" s="7" t="s">
        <v>166</v>
      </c>
      <c r="J43" s="85">
        <f t="shared" si="39"/>
        <v>40</v>
      </c>
      <c r="K43" s="34"/>
      <c r="L43" s="34"/>
      <c r="M43" s="87">
        <f t="shared" si="40"/>
        <v>0.0421052631578947</v>
      </c>
      <c r="N43" s="102" t="s">
        <v>80</v>
      </c>
      <c r="O43" s="102"/>
      <c r="P43" s="18">
        <f t="shared" si="41"/>
        <v>716</v>
      </c>
      <c r="Q43" s="96"/>
      <c r="R43" s="96"/>
      <c r="S43" s="89">
        <v>16</v>
      </c>
      <c r="T43" s="96"/>
      <c r="U43" s="96"/>
      <c r="V43" s="89">
        <v>16</v>
      </c>
      <c r="W43" s="96"/>
      <c r="X43" s="96"/>
      <c r="Y43" s="89">
        <v>8</v>
      </c>
      <c r="Z43" s="96"/>
      <c r="AA43" s="60">
        <f t="shared" si="25"/>
        <v>0</v>
      </c>
      <c r="AB43" s="60">
        <f t="shared" si="26"/>
        <v>0</v>
      </c>
      <c r="AC43" s="60">
        <f t="shared" si="27"/>
        <v>286.4</v>
      </c>
      <c r="AD43" s="60">
        <f t="shared" si="28"/>
        <v>0</v>
      </c>
      <c r="AE43" s="60">
        <f t="shared" si="29"/>
        <v>0</v>
      </c>
      <c r="AF43" s="60">
        <f t="shared" si="30"/>
        <v>286.4</v>
      </c>
      <c r="AG43" s="60">
        <f t="shared" si="31"/>
        <v>0</v>
      </c>
      <c r="AH43" s="60">
        <f t="shared" si="32"/>
        <v>0</v>
      </c>
      <c r="AI43" s="60">
        <f t="shared" si="33"/>
        <v>143.2</v>
      </c>
      <c r="AJ43" s="60">
        <f t="shared" si="34"/>
        <v>0</v>
      </c>
      <c r="AK43" s="90">
        <v>6</v>
      </c>
      <c r="AL43" s="28">
        <f>IF(Q43+R43-AK43&gt;0,Q43+R43-AK43,0)</f>
        <v>0</v>
      </c>
      <c r="AM43" s="28">
        <f>AL43*H43</f>
        <v>0</v>
      </c>
      <c r="AN43" s="28"/>
      <c r="AO43" s="28">
        <f>AN43*H43</f>
        <v>0</v>
      </c>
      <c r="AP43" s="7"/>
      <c r="AQ43" s="103" t="s">
        <v>177</v>
      </c>
      <c r="AR43" s="37"/>
      <c r="AS43" s="42"/>
      <c r="AT43" s="47"/>
      <c r="AU43" s="126" t="s">
        <v>76</v>
      </c>
      <c r="AV43" s="126"/>
    </row>
    <row r="44" ht="50" customHeight="1" spans="1:48">
      <c r="A44" s="36"/>
      <c r="B44" s="37"/>
      <c r="C44" s="37"/>
      <c r="D44" s="38"/>
      <c r="E44" s="95"/>
      <c r="F44" s="135" t="s">
        <v>199</v>
      </c>
      <c r="G44" s="135" t="s">
        <v>200</v>
      </c>
      <c r="H44" s="136">
        <v>18.9</v>
      </c>
      <c r="I44" s="7" t="s">
        <v>166</v>
      </c>
      <c r="J44" s="85">
        <f t="shared" si="39"/>
        <v>40</v>
      </c>
      <c r="K44" s="34"/>
      <c r="L44" s="34"/>
      <c r="M44" s="87">
        <f t="shared" si="40"/>
        <v>0.0421052631578947</v>
      </c>
      <c r="N44" s="102" t="s">
        <v>80</v>
      </c>
      <c r="O44" s="102"/>
      <c r="P44" s="18">
        <f t="shared" si="41"/>
        <v>756</v>
      </c>
      <c r="Q44" s="96"/>
      <c r="R44" s="96"/>
      <c r="S44" s="89">
        <v>16</v>
      </c>
      <c r="T44" s="96"/>
      <c r="U44" s="96"/>
      <c r="V44" s="89">
        <v>16</v>
      </c>
      <c r="W44" s="96"/>
      <c r="X44" s="96"/>
      <c r="Y44" s="89">
        <v>8</v>
      </c>
      <c r="Z44" s="96"/>
      <c r="AA44" s="60">
        <f t="shared" si="25"/>
        <v>0</v>
      </c>
      <c r="AB44" s="60">
        <f t="shared" si="26"/>
        <v>0</v>
      </c>
      <c r="AC44" s="60">
        <f t="shared" si="27"/>
        <v>302.4</v>
      </c>
      <c r="AD44" s="60">
        <f t="shared" si="28"/>
        <v>0</v>
      </c>
      <c r="AE44" s="60">
        <f t="shared" si="29"/>
        <v>0</v>
      </c>
      <c r="AF44" s="60">
        <f t="shared" si="30"/>
        <v>302.4</v>
      </c>
      <c r="AG44" s="60">
        <f t="shared" si="31"/>
        <v>0</v>
      </c>
      <c r="AH44" s="60">
        <f t="shared" si="32"/>
        <v>0</v>
      </c>
      <c r="AI44" s="60">
        <f t="shared" si="33"/>
        <v>151.2</v>
      </c>
      <c r="AJ44" s="60">
        <f t="shared" si="34"/>
        <v>0</v>
      </c>
      <c r="AK44" s="90">
        <v>6</v>
      </c>
      <c r="AL44" s="28">
        <f>IF(Q44+R44-AK44&gt;0,Q44+R44-AK44,0)</f>
        <v>0</v>
      </c>
      <c r="AM44" s="28">
        <f>AL44*H44</f>
        <v>0</v>
      </c>
      <c r="AN44" s="28"/>
      <c r="AO44" s="28">
        <f>AN44*H44</f>
        <v>0</v>
      </c>
      <c r="AP44" s="7"/>
      <c r="AQ44" s="104"/>
      <c r="AR44" s="37"/>
      <c r="AS44" s="42"/>
      <c r="AT44" s="47"/>
      <c r="AU44" s="126"/>
      <c r="AV44" s="126"/>
    </row>
    <row r="45" ht="50" customHeight="1" spans="1:48">
      <c r="A45" s="36"/>
      <c r="B45" s="37"/>
      <c r="C45" s="37"/>
      <c r="D45" s="38"/>
      <c r="E45" s="95"/>
      <c r="F45" s="135" t="s">
        <v>201</v>
      </c>
      <c r="G45" s="135" t="s">
        <v>202</v>
      </c>
      <c r="H45" s="136">
        <v>18.9</v>
      </c>
      <c r="I45" s="7" t="s">
        <v>166</v>
      </c>
      <c r="J45" s="85">
        <f t="shared" si="39"/>
        <v>48</v>
      </c>
      <c r="K45" s="34"/>
      <c r="L45" s="34"/>
      <c r="M45" s="87">
        <f t="shared" si="40"/>
        <v>0.0505263157894737</v>
      </c>
      <c r="N45" s="102" t="s">
        <v>80</v>
      </c>
      <c r="O45" s="102"/>
      <c r="P45" s="18">
        <f t="shared" si="41"/>
        <v>907.2</v>
      </c>
      <c r="Q45" s="96"/>
      <c r="R45" s="96"/>
      <c r="S45" s="89">
        <v>16</v>
      </c>
      <c r="T45" s="96"/>
      <c r="U45" s="96"/>
      <c r="V45" s="89">
        <v>16</v>
      </c>
      <c r="W45" s="96"/>
      <c r="X45" s="96"/>
      <c r="Y45" s="89">
        <v>16</v>
      </c>
      <c r="Z45" s="96"/>
      <c r="AA45" s="60">
        <f t="shared" si="25"/>
        <v>0</v>
      </c>
      <c r="AB45" s="60">
        <f t="shared" si="26"/>
        <v>0</v>
      </c>
      <c r="AC45" s="60">
        <f t="shared" si="27"/>
        <v>302.4</v>
      </c>
      <c r="AD45" s="60">
        <f t="shared" si="28"/>
        <v>0</v>
      </c>
      <c r="AE45" s="60">
        <f t="shared" si="29"/>
        <v>0</v>
      </c>
      <c r="AF45" s="60">
        <f t="shared" si="30"/>
        <v>302.4</v>
      </c>
      <c r="AG45" s="60">
        <f t="shared" si="31"/>
        <v>0</v>
      </c>
      <c r="AH45" s="60">
        <f t="shared" si="32"/>
        <v>0</v>
      </c>
      <c r="AI45" s="60">
        <f t="shared" si="33"/>
        <v>302.4</v>
      </c>
      <c r="AJ45" s="60">
        <f t="shared" si="34"/>
        <v>0</v>
      </c>
      <c r="AK45" s="90">
        <v>6</v>
      </c>
      <c r="AL45" s="28">
        <f>IF(Q45+R45-AK45&gt;0,Q45+R45-AK45,0)</f>
        <v>0</v>
      </c>
      <c r="AM45" s="28">
        <f>AL45*H45</f>
        <v>0</v>
      </c>
      <c r="AN45" s="28"/>
      <c r="AO45" s="28">
        <f>AN45*H45</f>
        <v>0</v>
      </c>
      <c r="AP45" s="7"/>
      <c r="AQ45" s="109"/>
      <c r="AR45" s="37"/>
      <c r="AS45" s="42"/>
      <c r="AT45" s="47"/>
      <c r="AU45" s="126"/>
      <c r="AV45" s="126"/>
    </row>
    <row r="46" ht="50" customHeight="1" spans="1:48">
      <c r="A46" s="36"/>
      <c r="B46" s="37"/>
      <c r="C46" s="37"/>
      <c r="D46" s="38"/>
      <c r="E46" s="100"/>
      <c r="F46" s="135" t="s">
        <v>203</v>
      </c>
      <c r="G46" s="135" t="s">
        <v>204</v>
      </c>
      <c r="H46" s="136">
        <v>18.9</v>
      </c>
      <c r="I46" s="7" t="s">
        <v>166</v>
      </c>
      <c r="J46" s="85">
        <f t="shared" si="39"/>
        <v>48</v>
      </c>
      <c r="K46" s="34"/>
      <c r="L46" s="34"/>
      <c r="M46" s="87">
        <f t="shared" si="40"/>
        <v>0.0505263157894737</v>
      </c>
      <c r="N46" s="102" t="s">
        <v>80</v>
      </c>
      <c r="O46" s="102"/>
      <c r="P46" s="18">
        <f t="shared" si="41"/>
        <v>907.2</v>
      </c>
      <c r="Q46" s="96"/>
      <c r="R46" s="96"/>
      <c r="S46" s="89">
        <v>16</v>
      </c>
      <c r="T46" s="96"/>
      <c r="U46" s="96"/>
      <c r="V46" s="89">
        <v>16</v>
      </c>
      <c r="W46" s="96"/>
      <c r="X46" s="96"/>
      <c r="Y46" s="89">
        <v>16</v>
      </c>
      <c r="Z46" s="96"/>
      <c r="AA46" s="60">
        <f t="shared" si="25"/>
        <v>0</v>
      </c>
      <c r="AB46" s="60">
        <f t="shared" si="26"/>
        <v>0</v>
      </c>
      <c r="AC46" s="60">
        <f t="shared" si="27"/>
        <v>302.4</v>
      </c>
      <c r="AD46" s="60">
        <f t="shared" si="28"/>
        <v>0</v>
      </c>
      <c r="AE46" s="60">
        <f t="shared" si="29"/>
        <v>0</v>
      </c>
      <c r="AF46" s="60">
        <f t="shared" si="30"/>
        <v>302.4</v>
      </c>
      <c r="AG46" s="60">
        <f t="shared" si="31"/>
        <v>0</v>
      </c>
      <c r="AH46" s="60">
        <f t="shared" si="32"/>
        <v>0</v>
      </c>
      <c r="AI46" s="60">
        <f t="shared" si="33"/>
        <v>302.4</v>
      </c>
      <c r="AJ46" s="60">
        <f t="shared" si="34"/>
        <v>0</v>
      </c>
      <c r="AK46" s="90"/>
      <c r="AL46" s="28"/>
      <c r="AM46" s="28"/>
      <c r="AN46" s="28"/>
      <c r="AO46" s="28">
        <f>AN46*H46</f>
        <v>0</v>
      </c>
      <c r="AP46" s="7"/>
      <c r="AQ46" s="109"/>
      <c r="AR46" s="37"/>
      <c r="AS46" s="42"/>
      <c r="AT46" s="47"/>
      <c r="AU46" s="126"/>
      <c r="AV46" s="126"/>
    </row>
    <row r="47" ht="50" customHeight="1" spans="1:48">
      <c r="A47" s="36"/>
      <c r="B47" s="37"/>
      <c r="C47" s="37"/>
      <c r="D47" s="38"/>
      <c r="E47" s="100"/>
      <c r="F47" s="32" t="s">
        <v>205</v>
      </c>
      <c r="G47" s="46" t="s">
        <v>206</v>
      </c>
      <c r="H47" s="137">
        <v>6</v>
      </c>
      <c r="I47" s="7">
        <v>20</v>
      </c>
      <c r="J47" s="85">
        <f t="shared" si="39"/>
        <v>60</v>
      </c>
      <c r="K47" s="34"/>
      <c r="L47" s="34"/>
      <c r="M47" s="87">
        <f t="shared" si="40"/>
        <v>0.0631578947368421</v>
      </c>
      <c r="N47" s="102" t="s">
        <v>80</v>
      </c>
      <c r="O47" s="102"/>
      <c r="P47" s="18">
        <f t="shared" si="41"/>
        <v>360</v>
      </c>
      <c r="Q47" s="96"/>
      <c r="R47" s="96"/>
      <c r="S47" s="89">
        <v>40</v>
      </c>
      <c r="T47" s="96"/>
      <c r="U47" s="96"/>
      <c r="V47" s="96"/>
      <c r="W47" s="89">
        <v>20</v>
      </c>
      <c r="X47" s="96"/>
      <c r="Y47" s="96"/>
      <c r="Z47" s="96"/>
      <c r="AA47" s="60">
        <f t="shared" si="25"/>
        <v>0</v>
      </c>
      <c r="AB47" s="60">
        <f t="shared" si="26"/>
        <v>0</v>
      </c>
      <c r="AC47" s="60">
        <f t="shared" si="27"/>
        <v>240</v>
      </c>
      <c r="AD47" s="60">
        <f t="shared" si="28"/>
        <v>0</v>
      </c>
      <c r="AE47" s="60">
        <f t="shared" si="29"/>
        <v>0</v>
      </c>
      <c r="AF47" s="60">
        <f t="shared" si="30"/>
        <v>0</v>
      </c>
      <c r="AG47" s="60">
        <f t="shared" si="31"/>
        <v>120</v>
      </c>
      <c r="AH47" s="60">
        <f t="shared" si="32"/>
        <v>0</v>
      </c>
      <c r="AI47" s="60">
        <f t="shared" si="33"/>
        <v>0</v>
      </c>
      <c r="AJ47" s="60">
        <f t="shared" si="34"/>
        <v>0</v>
      </c>
      <c r="AK47" s="90"/>
      <c r="AL47" s="28"/>
      <c r="AM47" s="28"/>
      <c r="AN47" s="28"/>
      <c r="AO47" s="28"/>
      <c r="AP47" s="7"/>
      <c r="AQ47" s="91"/>
      <c r="AR47" s="37"/>
      <c r="AS47" s="42"/>
      <c r="AT47" s="47"/>
      <c r="AU47" s="126"/>
      <c r="AV47" s="126"/>
    </row>
    <row r="48" ht="50" customHeight="1" spans="1:48">
      <c r="A48" s="7" t="s">
        <v>207</v>
      </c>
      <c r="B48" s="7"/>
      <c r="C48" s="7"/>
      <c r="D48" s="7"/>
      <c r="E48" s="7"/>
      <c r="F48" s="32"/>
      <c r="G48" s="46"/>
      <c r="H48" s="7"/>
      <c r="I48" s="7"/>
      <c r="J48" s="138"/>
      <c r="K48" s="34"/>
      <c r="L48" s="34"/>
      <c r="M48" s="34"/>
      <c r="N48" s="7"/>
      <c r="O48" s="7" t="s">
        <v>208</v>
      </c>
      <c r="P48" s="139">
        <f>SUM(P5:P47)</f>
        <v>65664.6</v>
      </c>
      <c r="Q48" s="7">
        <f>AA48</f>
        <v>3096</v>
      </c>
      <c r="R48" s="7">
        <f t="shared" ref="R48:Z48" si="42">AB48</f>
        <v>10930</v>
      </c>
      <c r="S48" s="7">
        <f t="shared" si="42"/>
        <v>9952.6</v>
      </c>
      <c r="T48" s="7">
        <f t="shared" si="42"/>
        <v>5152</v>
      </c>
      <c r="U48" s="7">
        <f t="shared" si="42"/>
        <v>2220</v>
      </c>
      <c r="V48" s="7">
        <f t="shared" si="42"/>
        <v>13620.6</v>
      </c>
      <c r="W48" s="7">
        <f t="shared" si="42"/>
        <v>4100</v>
      </c>
      <c r="X48" s="7">
        <f t="shared" si="42"/>
        <v>1080</v>
      </c>
      <c r="Y48" s="7">
        <f t="shared" si="42"/>
        <v>13788.2</v>
      </c>
      <c r="Z48" s="7">
        <f t="shared" si="42"/>
        <v>1080</v>
      </c>
      <c r="AA48" s="7">
        <f t="shared" ref="AA48:AJ48" si="43">SUM(AA5:AA47)</f>
        <v>3096</v>
      </c>
      <c r="AB48" s="7">
        <f t="shared" si="43"/>
        <v>10930</v>
      </c>
      <c r="AC48" s="7">
        <f t="shared" si="43"/>
        <v>9952.6</v>
      </c>
      <c r="AD48" s="7">
        <f t="shared" si="43"/>
        <v>5152</v>
      </c>
      <c r="AE48" s="7">
        <f t="shared" si="43"/>
        <v>2220</v>
      </c>
      <c r="AF48" s="7">
        <f t="shared" si="43"/>
        <v>13620.6</v>
      </c>
      <c r="AG48" s="7">
        <f t="shared" si="43"/>
        <v>4100</v>
      </c>
      <c r="AH48" s="7">
        <f t="shared" si="43"/>
        <v>1080</v>
      </c>
      <c r="AI48" s="7">
        <f t="shared" si="43"/>
        <v>13788.2</v>
      </c>
      <c r="AJ48" s="7">
        <f t="shared" si="43"/>
        <v>1080</v>
      </c>
      <c r="AK48" s="77"/>
      <c r="AL48" s="28"/>
      <c r="AM48" s="28">
        <f>SUM(AM5:AM45)</f>
        <v>6237</v>
      </c>
      <c r="AN48" s="140" t="s">
        <v>15</v>
      </c>
      <c r="AO48" s="140">
        <f>SUM(AO5:AO45)</f>
        <v>1790</v>
      </c>
      <c r="AP48" s="7"/>
      <c r="AQ48" s="71"/>
      <c r="AR48" s="37"/>
      <c r="AS48" s="42"/>
      <c r="AT48" s="47"/>
      <c r="AU48" s="141"/>
      <c r="AV48" s="141"/>
    </row>
    <row r="49" ht="50" customHeight="1" spans="1:48">
      <c r="A49" s="39" t="s">
        <v>209</v>
      </c>
      <c r="B49" s="40"/>
      <c r="C49" s="40"/>
      <c r="D49" s="7"/>
      <c r="E49" s="7"/>
      <c r="F49" s="32"/>
      <c r="G49" s="46"/>
      <c r="H49" s="7"/>
      <c r="I49" s="7"/>
      <c r="J49" s="140"/>
      <c r="K49" s="34"/>
      <c r="L49" s="34"/>
      <c r="M49" s="34"/>
      <c r="N49" s="7"/>
      <c r="O49" s="7"/>
      <c r="P49" s="11"/>
      <c r="Q49" s="7"/>
      <c r="R49" s="7"/>
      <c r="S49" s="7">
        <v>8500</v>
      </c>
      <c r="T49" s="7">
        <v>10000</v>
      </c>
      <c r="U49" s="7">
        <v>9500</v>
      </c>
      <c r="V49" s="7">
        <v>9000</v>
      </c>
      <c r="W49" s="7">
        <v>8000</v>
      </c>
      <c r="X49" s="7">
        <v>7000</v>
      </c>
      <c r="Y49" s="7">
        <v>8000</v>
      </c>
      <c r="Z49" s="7">
        <v>20000</v>
      </c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7"/>
      <c r="AL49" s="28"/>
      <c r="AM49" s="28"/>
      <c r="AN49" s="140"/>
      <c r="AO49" s="140"/>
      <c r="AP49" s="7"/>
      <c r="AQ49" s="71"/>
      <c r="AR49" s="37"/>
      <c r="AS49" s="42"/>
      <c r="AT49" s="47"/>
      <c r="AU49" s="141"/>
      <c r="AV49" s="141"/>
    </row>
    <row r="50" ht="50" customHeight="1" spans="1:48">
      <c r="A50" s="39" t="s">
        <v>210</v>
      </c>
      <c r="B50" s="40"/>
      <c r="C50" s="40"/>
      <c r="D50" s="7"/>
      <c r="E50" s="7"/>
      <c r="F50" s="32"/>
      <c r="G50" s="46"/>
      <c r="H50" s="7"/>
      <c r="I50" s="7"/>
      <c r="J50" s="140"/>
      <c r="K50" s="34"/>
      <c r="L50" s="34"/>
      <c r="M50" s="34"/>
      <c r="N50" s="7"/>
      <c r="O50" s="7"/>
      <c r="P50" s="11"/>
      <c r="Q50" s="7">
        <f>Q48-Q49</f>
        <v>3096</v>
      </c>
      <c r="R50" s="7">
        <f>Q50+R48-R49-AY5</f>
        <v>13696</v>
      </c>
      <c r="S50" s="7">
        <f>R50+S48-S49-AY8</f>
        <v>14818.6</v>
      </c>
      <c r="T50" s="7">
        <f>S50+T48-T49-AY9</f>
        <v>9640.6</v>
      </c>
      <c r="U50" s="7">
        <f>T50+U48-U49-AY10</f>
        <v>2010.6</v>
      </c>
      <c r="V50" s="7">
        <f>U50+V48-V49-AZ10</f>
        <v>6631.2</v>
      </c>
      <c r="W50" s="7">
        <f>V50+W48-W49-BD5</f>
        <v>2731.2</v>
      </c>
      <c r="X50" s="7">
        <f>W50+X48-X49-BD8</f>
        <v>-3188.8</v>
      </c>
      <c r="Y50" s="7">
        <f>X50+Y48-Y49-BD9</f>
        <v>2599.4</v>
      </c>
      <c r="Z50" s="7">
        <f>Y50+Z48-Z49-BD10</f>
        <v>-16320.6</v>
      </c>
      <c r="AA50" s="7">
        <f t="shared" ref="AA50:AK50" si="44">AA48-AA49</f>
        <v>3096</v>
      </c>
      <c r="AB50" s="7">
        <f t="shared" si="44"/>
        <v>10930</v>
      </c>
      <c r="AC50" s="7">
        <f t="shared" si="44"/>
        <v>9952.6</v>
      </c>
      <c r="AD50" s="7">
        <f t="shared" si="44"/>
        <v>5152</v>
      </c>
      <c r="AE50" s="7">
        <f t="shared" si="44"/>
        <v>2220</v>
      </c>
      <c r="AF50" s="7">
        <f t="shared" si="44"/>
        <v>13620.6</v>
      </c>
      <c r="AG50" s="7">
        <f t="shared" si="44"/>
        <v>4100</v>
      </c>
      <c r="AH50" s="7">
        <f t="shared" si="44"/>
        <v>1080</v>
      </c>
      <c r="AI50" s="7">
        <f t="shared" si="44"/>
        <v>13788.2</v>
      </c>
      <c r="AJ50" s="7">
        <f t="shared" si="44"/>
        <v>1080</v>
      </c>
      <c r="AK50" s="77"/>
      <c r="AL50" s="28"/>
      <c r="AM50" s="28"/>
      <c r="AN50" s="140"/>
      <c r="AO50" s="140"/>
      <c r="AP50" s="7"/>
      <c r="AQ50" s="71"/>
      <c r="AR50" s="37"/>
      <c r="AS50" s="42"/>
      <c r="AT50" s="47"/>
      <c r="AU50" s="141"/>
      <c r="AV50" s="141"/>
    </row>
    <row r="51" ht="50" customHeight="1" spans="1:48">
      <c r="A51" s="34" t="s">
        <v>211</v>
      </c>
      <c r="B51" s="34"/>
      <c r="C51" s="34"/>
      <c r="D51" s="34"/>
      <c r="E51" s="34"/>
      <c r="F51" s="28"/>
      <c r="G51" s="46"/>
      <c r="H51" s="142">
        <f>J51/P48</f>
        <v>0.590714022471773</v>
      </c>
      <c r="I51" s="7" t="s">
        <v>212</v>
      </c>
      <c r="J51" s="143">
        <f>P5+P8+P11+P38+P39+P40+P41+P42+P30</f>
        <v>38789</v>
      </c>
      <c r="K51" s="34"/>
      <c r="L51" s="34"/>
      <c r="M51" s="34"/>
      <c r="N51" s="7"/>
      <c r="O51" s="7" t="s">
        <v>213</v>
      </c>
      <c r="P51" s="144" t="s">
        <v>214</v>
      </c>
      <c r="Q51" s="70">
        <f>SUM(Q48:X48)</f>
        <v>50151.2</v>
      </c>
      <c r="R51" s="7"/>
      <c r="S51" s="7" t="s">
        <v>215</v>
      </c>
      <c r="T51" s="7" cm="1">
        <f t="array" ref="T51:T55">P6+P7+P14+P21++P23+P24+P25+P22+P28+P29+P30+P31+P32+P33+P34+P35+P36+P37+P43+P44+P45+P47+P46+P38:P42</f>
        <v>24003.6</v>
      </c>
      <c r="U51" s="7" t="s">
        <v>216</v>
      </c>
      <c r="V51" s="145">
        <f>T51/P48</f>
        <v>0.365548560411546</v>
      </c>
      <c r="W51" s="7"/>
      <c r="X51" s="7"/>
      <c r="Y51" s="146" t="s">
        <v>217</v>
      </c>
      <c r="Z51" s="70">
        <f>Y48+Z48</f>
        <v>14868.2</v>
      </c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7">
        <v>9055</v>
      </c>
      <c r="AL51" s="28"/>
      <c r="AM51" s="28"/>
      <c r="AN51" s="147" t="s">
        <v>218</v>
      </c>
      <c r="AO51" s="147">
        <f>Q51+Z51</f>
        <v>65019.4</v>
      </c>
      <c r="AP51" s="77"/>
      <c r="AQ51" s="148">
        <f>Q51+Z51</f>
        <v>65019.4</v>
      </c>
      <c r="AR51" s="37"/>
      <c r="AS51" s="42"/>
      <c r="AT51" s="47"/>
      <c r="AU51" s="141"/>
      <c r="AV51" s="141"/>
    </row>
    <row r="52" ht="169" customHeight="1" spans="1:48">
      <c r="A52" s="41" t="s">
        <v>219</v>
      </c>
      <c r="B52" s="34"/>
      <c r="C52" s="34"/>
      <c r="D52" s="41"/>
      <c r="E52" s="41"/>
      <c r="F52" s="149"/>
      <c r="G52" s="46"/>
      <c r="H52" s="41"/>
      <c r="I52" s="34"/>
      <c r="J52" s="41"/>
      <c r="K52" s="41"/>
      <c r="L52" s="41"/>
      <c r="M52" s="41"/>
      <c r="N52" s="41"/>
      <c r="O52" s="41"/>
      <c r="P52" s="41">
        <f>P48/17.5</f>
        <v>3752.26285714286</v>
      </c>
      <c r="Q52" s="41">
        <f>P52*19</f>
        <v>71292.9942857143</v>
      </c>
      <c r="R52" s="41"/>
      <c r="S52" s="41"/>
      <c r="T52" s="41">
        <v>23565.6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28"/>
      <c r="AM52" s="28"/>
      <c r="AN52" s="41"/>
      <c r="AO52" s="41"/>
      <c r="AP52" s="41"/>
      <c r="AQ52" s="150"/>
      <c r="AR52" s="151"/>
      <c r="AS52" s="42"/>
      <c r="AT52" s="47"/>
      <c r="AU52" s="141"/>
      <c r="AV52" s="141"/>
    </row>
    <row r="53" spans="1:48">
      <c r="T53">
        <v>24151.6</v>
      </c>
    </row>
    <row r="54" spans="1:48">
      <c r="T54">
        <v>23199.6</v>
      </c>
    </row>
    <row r="55" spans="1:48">
      <c r="T55">
        <v>23106.6</v>
      </c>
    </row>
    <row r="58" spans="1:48">
      <c r="P58" s="152"/>
      <c r="Q58" s="152"/>
      <c r="R58" s="152"/>
      <c r="S58" s="152"/>
      <c r="T58" s="152"/>
    </row>
  </sheetData>
  <sheetProtection formatCells="0" formatColumns="0" formatRows="0" insertRows="0" insertColumns="0" insertHyperlinks="0" deleteColumns="0" deleteRows="0" sort="0" autoFilter="0" pivotTables="0"/>
  <mergeCells count="52">
    <mergeCell ref="A1:AQ1"/>
    <mergeCell ref="A2:F2"/>
    <mergeCell ref="J2:P2"/>
    <mergeCell ref="R2:S2"/>
    <mergeCell ref="U2:Z2"/>
    <mergeCell ref="A3:D3"/>
    <mergeCell ref="F3:G3"/>
    <mergeCell ref="J3:K3"/>
    <mergeCell ref="L3:N3"/>
    <mergeCell ref="O3:P3"/>
    <mergeCell ref="Y3:Z3"/>
    <mergeCell ref="F4:G4"/>
    <mergeCell ref="AR4:AS4"/>
    <mergeCell ref="A49:B49"/>
    <mergeCell ref="A50:B50"/>
    <mergeCell ref="A13:A18"/>
    <mergeCell ref="A19:A21"/>
    <mergeCell ref="A23:A24"/>
    <mergeCell ref="A25:A26"/>
    <mergeCell ref="A29:A31"/>
    <mergeCell ref="B23:B24"/>
    <mergeCell ref="C5:C11"/>
    <mergeCell ref="C13:C18"/>
    <mergeCell ref="C19:C21"/>
    <mergeCell ref="E5:E11"/>
    <mergeCell ref="E12:E15"/>
    <mergeCell ref="E16:E21"/>
    <mergeCell ref="E23:E27"/>
    <mergeCell ref="E29:E32"/>
    <mergeCell ref="E33:E37"/>
    <mergeCell ref="E38:E42"/>
    <mergeCell ref="E43:E46"/>
    <mergeCell ref="AP23:AP25"/>
    <mergeCell ref="AQ12:AQ15"/>
    <mergeCell ref="AQ16:AQ21"/>
    <mergeCell ref="AQ23:AQ27"/>
    <mergeCell ref="AQ29:AQ32"/>
    <mergeCell ref="AQ33:AQ37"/>
    <mergeCell ref="AQ43:AQ45"/>
    <mergeCell ref="AU5:AU7"/>
    <mergeCell ref="AU8:AU15"/>
    <mergeCell ref="AU16:AU21"/>
    <mergeCell ref="AU23:AU25"/>
    <mergeCell ref="AU26:AU27"/>
    <mergeCell ref="AU28:AU37"/>
    <mergeCell ref="AU43:AU45"/>
    <mergeCell ref="AV5:AV7"/>
    <mergeCell ref="AV8:AV15"/>
    <mergeCell ref="AV16:AV21"/>
    <mergeCell ref="AV23:AV25"/>
    <mergeCell ref="AV26:AV27"/>
    <mergeCell ref="AV28:AV45"/>
  </mergeCells>
  <pageMargins left="0.75" right="0.75" top="1" bottom="1" header="0.5" footer="0.5"/>
  <pageSetup paperSize="9" scale="2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zoomScale="60" zoomScaleNormal="60" workbookViewId="0">
      <selection activeCell="B18" sqref="B18"/>
    </sheetView>
  </sheetViews>
  <sheetFormatPr defaultColWidth="9" defaultRowHeight="16.8"/>
  <cols>
    <col min="2" max="2" width="25.3365384615385" customWidth="1"/>
    <col min="3" max="3" width="15.8365384615385" customWidth="1"/>
    <col min="4" max="4" width="28.1634615384615" customWidth="1"/>
    <col min="5" max="5" width="9.66346153846154"/>
    <col min="7" max="7" width="36.8365384615385" customWidth="1"/>
    <col min="9" max="10" width="18.8365384615385" customWidth="1"/>
    <col min="11" max="11" width="56.5" customWidth="1"/>
  </cols>
  <sheetData>
    <row r="1" ht="50" customHeight="1" spans="1:13">
      <c r="A1" s="1" t="s">
        <v>0</v>
      </c>
      <c r="B1" s="2"/>
      <c r="C1" s="2"/>
      <c r="D1" s="3"/>
    </row>
    <row r="2" ht="50" customHeight="1" spans="1:13">
      <c r="A2" s="4"/>
      <c r="B2" s="5"/>
      <c r="C2" s="5"/>
      <c r="D2" s="6"/>
    </row>
    <row r="3" ht="50" customHeight="1" spans="1:13">
      <c r="A3" s="7" t="s">
        <v>220</v>
      </c>
      <c r="B3" s="7"/>
      <c r="C3" s="7"/>
      <c r="D3" s="8" t="e">
        <f>#REF!*#REF!</f>
        <v>#REF!</v>
      </c>
      <c r="E3" s="9"/>
    </row>
    <row r="4" ht="50" customHeight="1" spans="1:13">
      <c r="A4" s="10" t="s">
        <v>25</v>
      </c>
      <c r="B4" s="10" t="s">
        <v>26</v>
      </c>
      <c r="C4" s="7" t="s">
        <v>27</v>
      </c>
      <c r="D4" s="11" t="s">
        <v>28</v>
      </c>
      <c r="E4" s="9"/>
    </row>
    <row r="5" ht="50" customHeight="1" spans="1:13">
      <c r="A5" s="12" t="s">
        <v>66</v>
      </c>
      <c r="B5" s="7" t="s">
        <v>67</v>
      </c>
      <c r="C5" s="7">
        <v>1</v>
      </c>
      <c r="D5" s="13" t="s">
        <v>70</v>
      </c>
      <c r="E5" s="9"/>
      <c r="F5" s="7">
        <v>1</v>
      </c>
      <c r="G5" s="14" t="s">
        <v>70</v>
      </c>
      <c r="H5" s="15">
        <v>12.8</v>
      </c>
      <c r="I5" s="16">
        <v>50</v>
      </c>
      <c r="J5" s="16">
        <v>1</v>
      </c>
      <c r="K5" s="13" t="s">
        <v>70</v>
      </c>
      <c r="L5" s="15">
        <v>12.8</v>
      </c>
      <c r="M5" s="16">
        <v>50</v>
      </c>
    </row>
    <row r="6" ht="50" customHeight="1" spans="1:13">
      <c r="A6" s="17"/>
      <c r="B6" s="7" t="s">
        <v>85</v>
      </c>
      <c r="C6" s="7">
        <v>2</v>
      </c>
      <c r="D6" s="13" t="s">
        <v>221</v>
      </c>
      <c r="E6" s="9"/>
      <c r="F6" s="7">
        <v>2</v>
      </c>
      <c r="G6" s="14" t="s">
        <v>221</v>
      </c>
      <c r="H6" s="15">
        <v>26.9</v>
      </c>
      <c r="I6" s="16">
        <v>24</v>
      </c>
      <c r="J6" s="16">
        <v>2</v>
      </c>
      <c r="K6" s="13" t="s">
        <v>221</v>
      </c>
      <c r="L6" s="15">
        <v>26.9</v>
      </c>
      <c r="M6" s="16">
        <v>24</v>
      </c>
    </row>
    <row r="7" ht="50" customHeight="1" spans="1:13">
      <c r="A7" s="17"/>
      <c r="B7" s="7" t="s">
        <v>91</v>
      </c>
      <c r="C7" s="7">
        <v>3</v>
      </c>
      <c r="D7" s="13" t="s">
        <v>222</v>
      </c>
      <c r="E7" s="9" t="e">
        <f>SUM(#REF!)+0.5*#REF!</f>
        <v>#REF!</v>
      </c>
      <c r="F7" s="7">
        <v>3</v>
      </c>
      <c r="G7" s="14" t="s">
        <v>222</v>
      </c>
      <c r="H7" s="15">
        <v>26</v>
      </c>
      <c r="I7" s="16">
        <v>6</v>
      </c>
      <c r="J7" s="16">
        <v>3</v>
      </c>
      <c r="K7" s="13" t="s">
        <v>222</v>
      </c>
      <c r="L7" s="15">
        <v>26</v>
      </c>
      <c r="M7" s="16">
        <v>6</v>
      </c>
    </row>
    <row r="8" ht="50" customHeight="1" spans="1:13">
      <c r="A8" s="17"/>
      <c r="B8" s="7" t="s">
        <v>91</v>
      </c>
      <c r="C8" s="7"/>
      <c r="D8" s="13" t="s">
        <v>223</v>
      </c>
      <c r="E8" s="9"/>
      <c r="F8" s="7">
        <v>4</v>
      </c>
      <c r="G8" s="14" t="s">
        <v>223</v>
      </c>
      <c r="H8" s="15">
        <v>19.8</v>
      </c>
      <c r="I8" s="16">
        <v>12</v>
      </c>
      <c r="J8" s="16">
        <v>4</v>
      </c>
      <c r="K8" s="18" t="s">
        <v>224</v>
      </c>
      <c r="L8" s="19">
        <v>12.8</v>
      </c>
      <c r="M8" s="16">
        <v>10</v>
      </c>
    </row>
    <row r="9" ht="50" customHeight="1" spans="1:13">
      <c r="A9" s="17"/>
      <c r="B9" s="20" t="s">
        <v>91</v>
      </c>
      <c r="C9" s="7">
        <v>5</v>
      </c>
      <c r="D9" s="13" t="s">
        <v>225</v>
      </c>
      <c r="E9" s="9"/>
      <c r="F9" s="7">
        <v>5</v>
      </c>
      <c r="G9" s="14" t="s">
        <v>225</v>
      </c>
      <c r="H9" s="15">
        <v>19.8</v>
      </c>
      <c r="I9" s="16">
        <v>8</v>
      </c>
      <c r="J9" s="16">
        <v>5</v>
      </c>
      <c r="K9" s="18" t="s">
        <v>226</v>
      </c>
      <c r="L9" s="19">
        <v>14.9</v>
      </c>
      <c r="M9" s="16">
        <v>10</v>
      </c>
    </row>
    <row r="10" ht="50" customHeight="1" spans="1:13">
      <c r="A10" s="21"/>
      <c r="B10" s="20" t="s">
        <v>99</v>
      </c>
      <c r="C10" s="7">
        <v>6</v>
      </c>
      <c r="D10" s="13" t="s">
        <v>96</v>
      </c>
      <c r="E10" s="9"/>
      <c r="F10" s="7">
        <v>6</v>
      </c>
      <c r="G10" s="14" t="s">
        <v>96</v>
      </c>
      <c r="H10" s="15">
        <v>29.8</v>
      </c>
      <c r="I10" s="16">
        <v>30</v>
      </c>
      <c r="J10" s="16">
        <v>6</v>
      </c>
      <c r="K10" s="18" t="s">
        <v>227</v>
      </c>
      <c r="L10" s="19">
        <v>13.8</v>
      </c>
      <c r="M10" s="16">
        <v>12</v>
      </c>
    </row>
    <row r="11" ht="50" customHeight="1" spans="1:13">
      <c r="A11" s="22" t="s">
        <v>110</v>
      </c>
      <c r="B11" s="7" t="s">
        <v>67</v>
      </c>
      <c r="C11" s="7">
        <v>7</v>
      </c>
      <c r="D11" s="23" t="s">
        <v>228</v>
      </c>
      <c r="E11" s="9" t="e">
        <f>SUM(#REF!)+0.5*#REF!</f>
        <v>#REF!</v>
      </c>
      <c r="F11" s="7">
        <v>7</v>
      </c>
      <c r="G11" s="14" t="s">
        <v>228</v>
      </c>
      <c r="H11" s="19">
        <v>14.9</v>
      </c>
      <c r="I11" s="16">
        <v>20</v>
      </c>
      <c r="J11" s="16">
        <v>7</v>
      </c>
      <c r="K11" s="23" t="s">
        <v>228</v>
      </c>
      <c r="L11" s="19">
        <v>14.9</v>
      </c>
      <c r="M11" s="16">
        <v>20</v>
      </c>
    </row>
    <row r="12" ht="50" customHeight="1" spans="1:13">
      <c r="A12" s="24"/>
      <c r="B12" s="20" t="s">
        <v>130</v>
      </c>
      <c r="C12" s="7">
        <v>8</v>
      </c>
      <c r="D12" s="23" t="s">
        <v>229</v>
      </c>
      <c r="E12" s="9"/>
      <c r="F12" s="7">
        <v>8</v>
      </c>
      <c r="G12" s="14" t="s">
        <v>229</v>
      </c>
      <c r="H12" s="15">
        <v>23.8</v>
      </c>
      <c r="I12" s="16">
        <v>12</v>
      </c>
      <c r="J12" s="16">
        <v>8</v>
      </c>
      <c r="K12" s="25" t="s">
        <v>230</v>
      </c>
      <c r="L12" s="15">
        <v>15.8</v>
      </c>
      <c r="M12" s="16">
        <v>20</v>
      </c>
    </row>
    <row r="13" ht="50" customHeight="1" spans="1:13">
      <c r="A13" s="24"/>
      <c r="B13" s="20" t="s">
        <v>67</v>
      </c>
      <c r="C13" s="7">
        <v>9</v>
      </c>
      <c r="D13" s="25" t="s">
        <v>230</v>
      </c>
      <c r="E13" s="9" t="e">
        <f>E11+#REF!+0.5*#REF!+0.5*#REF!</f>
        <v>#REF!</v>
      </c>
      <c r="F13" s="7">
        <v>9</v>
      </c>
      <c r="G13" s="14" t="s">
        <v>230</v>
      </c>
      <c r="H13" s="15">
        <v>15.8</v>
      </c>
      <c r="I13" s="16">
        <v>20</v>
      </c>
      <c r="J13" s="16">
        <v>9</v>
      </c>
      <c r="K13" s="23" t="s">
        <v>231</v>
      </c>
      <c r="L13" s="19">
        <v>26</v>
      </c>
      <c r="M13" s="16">
        <v>10</v>
      </c>
    </row>
    <row r="14" ht="50" customHeight="1" spans="1:13">
      <c r="A14" s="24"/>
      <c r="B14" s="20" t="s">
        <v>99</v>
      </c>
      <c r="C14" s="7">
        <v>10</v>
      </c>
      <c r="D14" s="25" t="s">
        <v>232</v>
      </c>
      <c r="E14" s="9"/>
      <c r="F14" s="7">
        <v>10</v>
      </c>
      <c r="G14" s="14" t="s">
        <v>232</v>
      </c>
      <c r="H14" s="15">
        <v>29.8</v>
      </c>
      <c r="I14" s="16">
        <v>30</v>
      </c>
      <c r="J14" s="16">
        <v>10</v>
      </c>
      <c r="K14" s="13" t="s">
        <v>225</v>
      </c>
      <c r="L14" s="15">
        <v>19.8</v>
      </c>
      <c r="M14" s="16">
        <v>8</v>
      </c>
    </row>
    <row r="15" ht="50" customHeight="1" spans="1:13">
      <c r="A15" s="24"/>
      <c r="B15" s="20" t="s">
        <v>99</v>
      </c>
      <c r="C15" s="7">
        <v>11</v>
      </c>
      <c r="D15" s="25" t="s">
        <v>233</v>
      </c>
      <c r="E15" s="9"/>
      <c r="F15" s="7">
        <v>11</v>
      </c>
      <c r="G15" s="14" t="s">
        <v>233</v>
      </c>
      <c r="H15" s="15">
        <v>29.8</v>
      </c>
      <c r="I15" s="16">
        <v>30</v>
      </c>
      <c r="J15" s="16">
        <v>11</v>
      </c>
      <c r="K15" s="25" t="s">
        <v>234</v>
      </c>
      <c r="L15" s="15">
        <v>23.8</v>
      </c>
      <c r="M15" s="16">
        <v>6</v>
      </c>
    </row>
    <row r="16" ht="50" customHeight="1" spans="1:13">
      <c r="A16" s="24"/>
      <c r="B16" s="20" t="s">
        <v>126</v>
      </c>
      <c r="C16" s="7">
        <v>12</v>
      </c>
      <c r="D16" s="23" t="s">
        <v>231</v>
      </c>
      <c r="E16" s="9"/>
      <c r="F16" s="7">
        <v>12</v>
      </c>
      <c r="G16" s="26" t="s">
        <v>231</v>
      </c>
      <c r="H16" s="19">
        <v>26</v>
      </c>
      <c r="I16" s="16">
        <v>10</v>
      </c>
      <c r="J16" s="16">
        <v>12</v>
      </c>
      <c r="K16" s="13" t="s">
        <v>96</v>
      </c>
      <c r="L16" s="15">
        <v>29.8</v>
      </c>
      <c r="M16" s="16">
        <v>30</v>
      </c>
    </row>
    <row r="17" ht="50" customHeight="1" spans="1:13">
      <c r="A17" s="24"/>
      <c r="B17" s="7" t="s">
        <v>235</v>
      </c>
      <c r="C17" s="7">
        <v>13</v>
      </c>
      <c r="D17" s="25" t="s">
        <v>234</v>
      </c>
      <c r="F17" s="7">
        <v>13</v>
      </c>
      <c r="G17" s="14" t="s">
        <v>234</v>
      </c>
      <c r="H17" s="15">
        <v>23.8</v>
      </c>
      <c r="I17" s="16">
        <v>6</v>
      </c>
      <c r="J17" s="16">
        <v>13</v>
      </c>
      <c r="K17" s="25" t="s">
        <v>233</v>
      </c>
      <c r="L17" s="15">
        <v>29.8</v>
      </c>
      <c r="M17" s="16">
        <v>30</v>
      </c>
    </row>
    <row r="18" ht="50" customHeight="1" spans="1:13">
      <c r="A18" s="27"/>
      <c r="B18" s="7" t="s">
        <v>236</v>
      </c>
      <c r="C18" s="7">
        <v>14</v>
      </c>
      <c r="D18" s="25" t="s">
        <v>237</v>
      </c>
      <c r="F18" s="7">
        <v>14</v>
      </c>
      <c r="G18" s="14" t="s">
        <v>237</v>
      </c>
      <c r="H18" s="15">
        <v>33.9</v>
      </c>
      <c r="I18" s="16">
        <v>10</v>
      </c>
      <c r="J18" s="16">
        <v>14</v>
      </c>
      <c r="K18" s="28" t="s">
        <v>238</v>
      </c>
      <c r="L18" s="19">
        <v>26</v>
      </c>
      <c r="M18" s="16">
        <v>10</v>
      </c>
    </row>
    <row r="19" ht="50" customHeight="1" spans="1:13">
      <c r="A19" s="29" t="s">
        <v>239</v>
      </c>
      <c r="B19" s="30" t="s">
        <v>130</v>
      </c>
      <c r="C19" s="7">
        <v>15</v>
      </c>
      <c r="D19" s="28" t="s">
        <v>238</v>
      </c>
      <c r="F19" s="7">
        <v>15</v>
      </c>
      <c r="G19" s="14" t="s">
        <v>238</v>
      </c>
      <c r="H19" s="19">
        <v>26</v>
      </c>
      <c r="I19" s="16">
        <v>10</v>
      </c>
      <c r="J19" s="16">
        <v>15</v>
      </c>
      <c r="K19" s="18" t="s">
        <v>240</v>
      </c>
      <c r="L19" s="15">
        <v>24.9</v>
      </c>
      <c r="M19" s="16">
        <v>10</v>
      </c>
    </row>
    <row r="20" ht="50" customHeight="1" spans="1:13">
      <c r="A20" s="29"/>
      <c r="B20" s="30" t="s">
        <v>130</v>
      </c>
      <c r="C20" s="7">
        <v>16</v>
      </c>
      <c r="D20" s="18" t="s">
        <v>240</v>
      </c>
      <c r="F20" s="7">
        <v>16</v>
      </c>
      <c r="G20" s="26" t="s">
        <v>240</v>
      </c>
      <c r="H20" s="31">
        <v>24.9</v>
      </c>
      <c r="I20" s="26">
        <v>10</v>
      </c>
      <c r="J20" s="26">
        <v>16</v>
      </c>
      <c r="K20" s="28" t="s">
        <v>241</v>
      </c>
      <c r="L20" s="19">
        <v>26</v>
      </c>
      <c r="M20" s="16">
        <v>10</v>
      </c>
    </row>
    <row r="21" ht="50" customHeight="1" spans="1:13">
      <c r="A21" s="29"/>
      <c r="B21" s="20" t="s">
        <v>126</v>
      </c>
      <c r="C21" s="7">
        <v>17</v>
      </c>
      <c r="D21" s="28" t="s">
        <v>241</v>
      </c>
      <c r="F21" s="7">
        <v>17</v>
      </c>
      <c r="G21" s="14" t="s">
        <v>241</v>
      </c>
      <c r="H21" s="19">
        <v>26</v>
      </c>
      <c r="I21" s="16">
        <v>10</v>
      </c>
      <c r="J21" s="16">
        <v>17</v>
      </c>
      <c r="K21" s="28" t="s">
        <v>242</v>
      </c>
      <c r="L21" s="19">
        <v>26</v>
      </c>
      <c r="M21" s="16">
        <v>10</v>
      </c>
    </row>
    <row r="22" ht="50" customHeight="1" spans="1:13">
      <c r="A22" s="29"/>
      <c r="B22" s="20" t="s">
        <v>126</v>
      </c>
      <c r="C22" s="7">
        <v>18</v>
      </c>
      <c r="D22" s="28" t="s">
        <v>242</v>
      </c>
      <c r="F22" s="7">
        <v>18</v>
      </c>
      <c r="G22" s="14" t="s">
        <v>242</v>
      </c>
      <c r="H22" s="19">
        <v>26</v>
      </c>
      <c r="I22" s="16">
        <v>10</v>
      </c>
      <c r="J22" s="16">
        <v>18</v>
      </c>
      <c r="K22" s="32" t="s">
        <v>243</v>
      </c>
      <c r="L22" s="15">
        <v>18</v>
      </c>
      <c r="M22" s="16" t="s">
        <v>166</v>
      </c>
    </row>
    <row r="23" ht="50" customHeight="1" spans="1:13">
      <c r="A23" s="29"/>
      <c r="B23" s="20" t="s">
        <v>126</v>
      </c>
      <c r="C23" s="7">
        <v>19</v>
      </c>
      <c r="D23" s="32" t="s">
        <v>243</v>
      </c>
      <c r="F23" s="7">
        <v>19</v>
      </c>
      <c r="G23" s="14" t="s">
        <v>243</v>
      </c>
      <c r="H23" s="15">
        <v>18</v>
      </c>
      <c r="I23" s="16" t="s">
        <v>166</v>
      </c>
      <c r="J23" s="16">
        <v>19</v>
      </c>
      <c r="K23" s="28" t="s">
        <v>244</v>
      </c>
      <c r="L23" s="15">
        <v>16.8</v>
      </c>
      <c r="M23" s="18">
        <v>12</v>
      </c>
    </row>
    <row r="24" ht="50" customHeight="1" spans="1:13">
      <c r="A24" s="29"/>
      <c r="B24" s="20" t="s">
        <v>126</v>
      </c>
      <c r="C24" s="7">
        <v>20</v>
      </c>
      <c r="D24" s="28" t="s">
        <v>244</v>
      </c>
      <c r="F24" s="7">
        <v>20</v>
      </c>
      <c r="G24" s="14" t="s">
        <v>244</v>
      </c>
      <c r="H24" s="15">
        <v>16.8</v>
      </c>
      <c r="I24" s="18">
        <v>12</v>
      </c>
      <c r="J24" s="16">
        <v>20</v>
      </c>
      <c r="K24" s="28" t="s">
        <v>245</v>
      </c>
      <c r="L24" s="19">
        <v>14.9</v>
      </c>
      <c r="M24" s="16" t="s">
        <v>166</v>
      </c>
    </row>
    <row r="25" ht="50" customHeight="1" spans="1:13">
      <c r="A25" s="29"/>
      <c r="B25" s="20" t="s">
        <v>135</v>
      </c>
      <c r="C25" s="7">
        <v>21</v>
      </c>
      <c r="D25" s="28" t="s">
        <v>245</v>
      </c>
      <c r="F25" s="7">
        <v>21</v>
      </c>
      <c r="G25" s="14" t="s">
        <v>245</v>
      </c>
      <c r="H25" s="19">
        <v>14.9</v>
      </c>
      <c r="I25" s="16" t="s">
        <v>166</v>
      </c>
      <c r="J25" s="16">
        <v>21</v>
      </c>
      <c r="K25" s="28" t="s">
        <v>246</v>
      </c>
      <c r="L25" s="19">
        <v>25</v>
      </c>
      <c r="M25" s="16" t="s">
        <v>166</v>
      </c>
    </row>
    <row r="26" ht="50" customHeight="1" spans="1:13">
      <c r="A26" s="29"/>
      <c r="B26" s="20" t="s">
        <v>135</v>
      </c>
      <c r="C26" s="7">
        <v>22</v>
      </c>
      <c r="D26" s="28" t="s">
        <v>246</v>
      </c>
      <c r="F26" s="7">
        <v>22</v>
      </c>
      <c r="G26" s="14" t="s">
        <v>246</v>
      </c>
      <c r="H26" s="19">
        <v>25</v>
      </c>
      <c r="I26" s="16" t="s">
        <v>166</v>
      </c>
      <c r="J26" s="16">
        <v>22</v>
      </c>
      <c r="K26" s="32" t="s">
        <v>247</v>
      </c>
      <c r="L26" s="15">
        <v>29.8</v>
      </c>
      <c r="M26" s="16">
        <v>10</v>
      </c>
    </row>
    <row r="27" ht="50" customHeight="1" spans="1:13">
      <c r="A27" s="29"/>
      <c r="B27" s="20" t="s">
        <v>135</v>
      </c>
      <c r="C27" s="7">
        <v>23</v>
      </c>
      <c r="D27" s="32" t="s">
        <v>247</v>
      </c>
      <c r="F27" s="7">
        <v>23</v>
      </c>
      <c r="G27" s="14" t="s">
        <v>247</v>
      </c>
      <c r="H27" s="15">
        <v>29.8</v>
      </c>
      <c r="I27" s="16">
        <v>10</v>
      </c>
      <c r="J27" s="16">
        <v>23</v>
      </c>
      <c r="K27" s="18" t="s">
        <v>248</v>
      </c>
      <c r="L27" s="15">
        <v>23.8</v>
      </c>
      <c r="M27" s="16">
        <v>6</v>
      </c>
    </row>
    <row r="28" ht="50" customHeight="1" spans="1:13">
      <c r="A28" s="7" t="s">
        <v>249</v>
      </c>
      <c r="B28" s="7" t="s">
        <v>149</v>
      </c>
      <c r="C28" s="7">
        <v>24</v>
      </c>
      <c r="D28" s="28" t="s">
        <v>250</v>
      </c>
      <c r="F28" s="7">
        <v>24</v>
      </c>
      <c r="G28" s="14" t="s">
        <v>250</v>
      </c>
      <c r="H28" s="19">
        <v>22</v>
      </c>
      <c r="I28" s="16">
        <v>10</v>
      </c>
      <c r="J28" s="16">
        <v>24</v>
      </c>
      <c r="K28" s="13" t="s">
        <v>223</v>
      </c>
      <c r="L28" s="15">
        <v>19.8</v>
      </c>
      <c r="M28" s="16">
        <v>12</v>
      </c>
    </row>
    <row r="29" ht="50" customHeight="1" spans="1:13">
      <c r="A29" s="7"/>
      <c r="B29" s="7"/>
      <c r="C29" s="7">
        <v>25</v>
      </c>
      <c r="D29" s="28" t="s">
        <v>251</v>
      </c>
      <c r="F29" s="7">
        <v>25</v>
      </c>
      <c r="G29" s="14" t="s">
        <v>251</v>
      </c>
      <c r="H29" s="19">
        <v>16</v>
      </c>
      <c r="I29" s="16">
        <v>8</v>
      </c>
      <c r="J29" s="16">
        <v>25</v>
      </c>
      <c r="K29" s="28" t="s">
        <v>232</v>
      </c>
      <c r="L29" s="15">
        <v>29.8</v>
      </c>
      <c r="M29" s="16">
        <v>30</v>
      </c>
    </row>
    <row r="30" ht="50" customHeight="1" spans="1:13">
      <c r="A30" s="7"/>
      <c r="B30" s="7"/>
      <c r="C30" s="7">
        <v>26</v>
      </c>
      <c r="D30" s="28" t="s">
        <v>252</v>
      </c>
      <c r="F30" s="7">
        <v>26</v>
      </c>
      <c r="G30" s="14" t="s">
        <v>252</v>
      </c>
      <c r="H30" s="16">
        <v>18</v>
      </c>
      <c r="I30" s="16">
        <v>10</v>
      </c>
      <c r="J30" s="16">
        <v>26</v>
      </c>
      <c r="K30" s="28" t="s">
        <v>237</v>
      </c>
      <c r="L30" s="15">
        <v>33.9</v>
      </c>
      <c r="M30" s="16">
        <v>10</v>
      </c>
    </row>
    <row r="31" ht="50" customHeight="1" spans="1:13">
      <c r="A31" s="7" t="s">
        <v>148</v>
      </c>
      <c r="B31" s="20" t="s">
        <v>149</v>
      </c>
      <c r="C31" s="7">
        <v>27</v>
      </c>
      <c r="D31" s="28" t="s">
        <v>253</v>
      </c>
      <c r="F31" s="7">
        <v>27</v>
      </c>
      <c r="G31" s="14" t="s">
        <v>253</v>
      </c>
      <c r="H31" s="19">
        <v>12</v>
      </c>
      <c r="I31" s="16">
        <v>10</v>
      </c>
      <c r="J31" s="16">
        <v>27</v>
      </c>
      <c r="K31" s="28" t="s">
        <v>254</v>
      </c>
      <c r="L31" s="19">
        <v>22</v>
      </c>
      <c r="M31" s="16">
        <v>8</v>
      </c>
    </row>
    <row r="32" ht="50" customHeight="1" spans="1:13">
      <c r="A32" s="7"/>
      <c r="B32" s="20" t="s">
        <v>91</v>
      </c>
      <c r="C32" s="7">
        <v>28</v>
      </c>
      <c r="D32" s="28" t="s">
        <v>254</v>
      </c>
      <c r="F32" s="7">
        <v>28</v>
      </c>
      <c r="G32" s="14" t="s">
        <v>254</v>
      </c>
      <c r="H32" s="19">
        <v>22</v>
      </c>
      <c r="I32" s="16">
        <v>8</v>
      </c>
      <c r="J32" s="16">
        <v>28</v>
      </c>
      <c r="K32" s="28" t="s">
        <v>250</v>
      </c>
      <c r="L32" s="19">
        <v>22</v>
      </c>
      <c r="M32" s="16">
        <v>10</v>
      </c>
    </row>
    <row r="33" ht="50" customHeight="1" spans="1:13">
      <c r="A33" s="7"/>
      <c r="B33" s="20" t="s">
        <v>152</v>
      </c>
      <c r="C33" s="7">
        <v>29</v>
      </c>
      <c r="D33" s="28" t="s">
        <v>255</v>
      </c>
      <c r="F33" s="7">
        <v>29</v>
      </c>
      <c r="G33" s="28" t="s">
        <v>255</v>
      </c>
      <c r="H33" s="19">
        <v>5</v>
      </c>
      <c r="I33" s="16">
        <v>100</v>
      </c>
      <c r="J33" s="16">
        <v>29</v>
      </c>
      <c r="K33" s="28" t="s">
        <v>251</v>
      </c>
      <c r="L33" s="19">
        <v>16</v>
      </c>
      <c r="M33" s="16">
        <v>8</v>
      </c>
    </row>
    <row r="34" ht="50" customHeight="1" spans="1:13">
      <c r="A34" s="7"/>
      <c r="B34" s="7"/>
      <c r="C34" s="7">
        <v>30</v>
      </c>
      <c r="D34" s="28" t="s">
        <v>256</v>
      </c>
      <c r="F34" s="7">
        <v>30</v>
      </c>
      <c r="G34" s="14" t="s">
        <v>256</v>
      </c>
      <c r="H34" s="19">
        <v>13</v>
      </c>
      <c r="I34" s="16">
        <v>6</v>
      </c>
      <c r="J34" s="16">
        <v>30</v>
      </c>
      <c r="K34" s="28" t="s">
        <v>252</v>
      </c>
      <c r="L34" s="16">
        <v>18</v>
      </c>
      <c r="M34" s="16">
        <v>10</v>
      </c>
    </row>
    <row r="35" ht="50" customHeight="1" spans="1:13">
      <c r="A35" s="7"/>
      <c r="B35" s="7"/>
      <c r="C35" s="7">
        <v>31</v>
      </c>
      <c r="D35" s="28" t="s">
        <v>257</v>
      </c>
      <c r="F35" s="7">
        <v>31</v>
      </c>
      <c r="G35" s="14" t="s">
        <v>257</v>
      </c>
      <c r="H35" s="19">
        <v>15</v>
      </c>
      <c r="I35" s="16">
        <v>6</v>
      </c>
      <c r="J35" s="16">
        <v>31</v>
      </c>
      <c r="K35" s="28" t="s">
        <v>253</v>
      </c>
      <c r="L35" s="19">
        <v>12</v>
      </c>
      <c r="M35" s="16">
        <v>10</v>
      </c>
    </row>
    <row r="36" ht="50" customHeight="1" spans="1:13">
      <c r="A36" s="7"/>
      <c r="B36" s="7"/>
      <c r="C36" s="7">
        <v>32</v>
      </c>
      <c r="D36" s="33" t="s">
        <v>258</v>
      </c>
      <c r="F36" s="7">
        <v>32</v>
      </c>
      <c r="G36" s="33" t="s">
        <v>258</v>
      </c>
      <c r="H36" s="19">
        <v>6</v>
      </c>
      <c r="I36" s="16">
        <v>6</v>
      </c>
      <c r="J36" s="16">
        <v>32</v>
      </c>
      <c r="K36" s="18" t="s">
        <v>259</v>
      </c>
      <c r="L36" s="15">
        <v>19.8</v>
      </c>
      <c r="M36" s="16">
        <v>8</v>
      </c>
    </row>
    <row r="37" ht="50" customHeight="1" spans="1:13">
      <c r="A37" s="7"/>
      <c r="B37" s="7"/>
      <c r="C37" s="7">
        <v>33</v>
      </c>
      <c r="D37" s="28" t="s">
        <v>260</v>
      </c>
      <c r="F37" s="7">
        <v>33</v>
      </c>
      <c r="G37" s="28" t="s">
        <v>260</v>
      </c>
      <c r="H37" s="19">
        <v>9.8</v>
      </c>
      <c r="I37" s="16" t="s">
        <v>166</v>
      </c>
      <c r="J37" s="16">
        <v>33</v>
      </c>
      <c r="K37" s="28" t="s">
        <v>261</v>
      </c>
      <c r="L37" s="19">
        <v>29.8</v>
      </c>
      <c r="M37" s="16">
        <v>10</v>
      </c>
    </row>
    <row r="38" ht="50" customHeight="1" spans="1:13">
      <c r="A38" s="34" t="s">
        <v>262</v>
      </c>
      <c r="B38" s="7" t="s">
        <v>85</v>
      </c>
      <c r="C38" s="7">
        <v>34</v>
      </c>
      <c r="D38" s="28" t="s">
        <v>261</v>
      </c>
      <c r="F38" s="7">
        <v>34</v>
      </c>
      <c r="G38" s="14" t="s">
        <v>261</v>
      </c>
      <c r="H38" s="19">
        <v>29.8</v>
      </c>
      <c r="I38" s="16">
        <v>10</v>
      </c>
      <c r="J38" s="16">
        <v>34</v>
      </c>
      <c r="K38" s="28" t="s">
        <v>263</v>
      </c>
      <c r="L38" s="19">
        <v>36</v>
      </c>
      <c r="M38" s="16">
        <v>12</v>
      </c>
    </row>
    <row r="39" ht="50" customHeight="1" spans="1:13">
      <c r="A39" s="34"/>
      <c r="B39" s="7"/>
      <c r="C39" s="7">
        <v>35</v>
      </c>
      <c r="D39" s="28" t="s">
        <v>263</v>
      </c>
      <c r="F39" s="7">
        <v>35</v>
      </c>
      <c r="G39" s="14" t="s">
        <v>263</v>
      </c>
      <c r="H39" s="19">
        <v>36</v>
      </c>
      <c r="I39" s="16">
        <v>12</v>
      </c>
      <c r="J39" s="16">
        <v>35</v>
      </c>
      <c r="K39" s="28" t="s">
        <v>264</v>
      </c>
      <c r="L39" s="19">
        <v>39</v>
      </c>
      <c r="M39" s="16">
        <v>12</v>
      </c>
    </row>
    <row r="40" ht="50" customHeight="1" spans="1:13">
      <c r="A40" s="35" t="s">
        <v>162</v>
      </c>
      <c r="B40" s="20" t="s">
        <v>130</v>
      </c>
      <c r="C40" s="7">
        <v>36</v>
      </c>
      <c r="D40" s="18" t="s">
        <v>248</v>
      </c>
      <c r="F40" s="7">
        <v>36</v>
      </c>
      <c r="G40" s="26" t="s">
        <v>248</v>
      </c>
      <c r="H40" s="15">
        <v>23.8</v>
      </c>
      <c r="I40" s="16">
        <v>6</v>
      </c>
      <c r="J40" s="16">
        <v>36</v>
      </c>
      <c r="K40" s="28" t="s">
        <v>256</v>
      </c>
      <c r="L40" s="19">
        <v>13</v>
      </c>
      <c r="M40" s="16">
        <v>6</v>
      </c>
    </row>
    <row r="41" ht="50" customHeight="1" spans="1:13">
      <c r="A41" s="35"/>
      <c r="B41" s="20" t="s">
        <v>91</v>
      </c>
      <c r="C41" s="7">
        <v>37</v>
      </c>
      <c r="D41" s="18" t="s">
        <v>259</v>
      </c>
      <c r="F41" s="7">
        <v>37</v>
      </c>
      <c r="G41" s="26" t="s">
        <v>259</v>
      </c>
      <c r="H41" s="15">
        <v>19.8</v>
      </c>
      <c r="I41" s="16">
        <v>8</v>
      </c>
      <c r="J41" s="16">
        <v>37</v>
      </c>
      <c r="K41" s="28" t="s">
        <v>257</v>
      </c>
      <c r="L41" s="19">
        <v>15</v>
      </c>
      <c r="M41" s="16">
        <v>6</v>
      </c>
    </row>
    <row r="42" ht="50" customHeight="1" spans="1:13">
      <c r="A42" s="20" t="s">
        <v>162</v>
      </c>
      <c r="B42" s="7"/>
      <c r="C42" s="7">
        <v>4</v>
      </c>
      <c r="D42" s="18" t="s">
        <v>224</v>
      </c>
      <c r="F42" s="7">
        <v>38</v>
      </c>
      <c r="G42" s="26" t="s">
        <v>224</v>
      </c>
      <c r="H42" s="19">
        <v>12.8</v>
      </c>
      <c r="I42" s="16">
        <v>10</v>
      </c>
      <c r="J42" s="16">
        <v>38</v>
      </c>
      <c r="K42" s="28" t="s">
        <v>255</v>
      </c>
      <c r="L42" s="19">
        <v>5</v>
      </c>
      <c r="M42" s="16">
        <v>100</v>
      </c>
    </row>
    <row r="43" ht="50" customHeight="1" spans="1:13">
      <c r="A43" s="20"/>
      <c r="B43" s="7"/>
      <c r="C43" s="7">
        <v>5</v>
      </c>
      <c r="D43" s="18" t="s">
        <v>226</v>
      </c>
      <c r="F43" s="7">
        <v>39</v>
      </c>
      <c r="G43" s="26" t="s">
        <v>226</v>
      </c>
      <c r="H43" s="19">
        <v>14.9</v>
      </c>
      <c r="I43" s="16">
        <v>10</v>
      </c>
      <c r="J43" s="16">
        <v>39</v>
      </c>
      <c r="K43" s="28" t="s">
        <v>260</v>
      </c>
      <c r="L43" s="19">
        <v>9.8</v>
      </c>
      <c r="M43" s="16" t="s">
        <v>166</v>
      </c>
    </row>
    <row r="44" ht="50" customHeight="1" spans="1:13">
      <c r="A44" s="20"/>
      <c r="B44" s="7"/>
      <c r="C44" s="7">
        <v>6</v>
      </c>
      <c r="D44" s="18" t="s">
        <v>227</v>
      </c>
      <c r="F44" s="7">
        <v>40</v>
      </c>
      <c r="G44" s="26" t="s">
        <v>227</v>
      </c>
      <c r="H44" s="19">
        <v>13.8</v>
      </c>
      <c r="I44" s="16">
        <v>12</v>
      </c>
      <c r="J44" s="16">
        <v>40</v>
      </c>
      <c r="K44" s="28" t="s">
        <v>258</v>
      </c>
      <c r="L44" s="19">
        <v>6</v>
      </c>
      <c r="M44" s="16">
        <v>6</v>
      </c>
    </row>
    <row r="45" ht="50" customHeight="1" spans="1:13">
      <c r="A45" s="20"/>
      <c r="B45" s="7"/>
      <c r="C45" s="7"/>
      <c r="D45" s="18"/>
    </row>
    <row r="46" ht="50" customHeight="1" spans="1:13">
      <c r="A46" s="36"/>
      <c r="B46" s="37"/>
      <c r="C46" s="38"/>
      <c r="D46" s="11"/>
    </row>
    <row r="47" ht="50" customHeight="1" spans="1:13">
      <c r="A47" s="7" t="s">
        <v>207</v>
      </c>
      <c r="B47" s="7"/>
      <c r="C47" s="7"/>
      <c r="D47" s="7"/>
    </row>
    <row r="48" ht="50" customHeight="1" spans="1:13">
      <c r="A48" s="39" t="s">
        <v>209</v>
      </c>
      <c r="B48" s="40"/>
      <c r="C48" s="7"/>
      <c r="D48" s="7"/>
    </row>
    <row r="49" ht="50" customHeight="1" spans="1:4">
      <c r="A49" s="39" t="s">
        <v>210</v>
      </c>
      <c r="B49" s="40"/>
      <c r="C49" s="7"/>
      <c r="D49" s="7"/>
    </row>
    <row r="50" ht="50" customHeight="1" spans="1:4">
      <c r="A50" s="34" t="s">
        <v>211</v>
      </c>
      <c r="B50" s="34"/>
      <c r="C50" s="34"/>
      <c r="D50" s="34"/>
    </row>
    <row r="51" ht="50" customHeight="1" spans="1:4">
      <c r="A51" s="41" t="s">
        <v>219</v>
      </c>
      <c r="B51" s="34"/>
      <c r="C51" s="41"/>
      <c r="D51" s="41"/>
    </row>
  </sheetData>
  <sheetProtection formatCells="0" formatColumns="0" formatRows="0" insertRows="0" insertColumns="0" insertHyperlinks="0" deleteColumns="0" deleteRows="0" sort="0" autoFilter="0" pivotTables="0"/>
  <mergeCells count="15">
    <mergeCell ref="A3:C3"/>
    <mergeCell ref="A48:B48"/>
    <mergeCell ref="A49:B49"/>
    <mergeCell ref="A51:D51"/>
    <mergeCell ref="A11:A18"/>
    <mergeCell ref="A19:A25"/>
    <mergeCell ref="A28:A30"/>
    <mergeCell ref="A31:A33"/>
    <mergeCell ref="A34:A37"/>
    <mergeCell ref="A38:A39"/>
    <mergeCell ref="A42:A44"/>
    <mergeCell ref="B28:B30"/>
    <mergeCell ref="B34:B37"/>
    <mergeCell ref="B38:B39"/>
    <mergeCell ref="A1:D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周一至周四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侯俊达</dc:creator>
  <cp:lastModifiedBy>微信用户</cp:lastModifiedBy>
  <dcterms:created xsi:type="dcterms:W3CDTF">2023-05-31T14:15:00Z</dcterms:created>
  <dcterms:modified xsi:type="dcterms:W3CDTF">2026-03-28T18:20:55Z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2052-12.1.25195.25195</vt:lpwstr>
  </property>
  <property fmtid="{D5CDD505-2E9C-101B-9397-08002B2CF9AE}" pid="3" name="ICV">
    <vt:lpwstr>3EB7613525BCCDB59B28C46939AAFC63_43</vt:lpwstr>
  </property>
  <property fmtid="{D5CDD505-2E9C-101B-9397-08002B2CF9AE}" pid="4" name="CalculationRule">
    <vt:i4>0</vt:i4>
  </property>
</Properties>
</file>